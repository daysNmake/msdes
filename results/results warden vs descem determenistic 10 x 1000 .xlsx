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ob.sharepoint.com/teams/grp-Bristol_TAG-MTA-MS/Shared Documents/MTA-MS/Working Folder_HE/MS Models/Git Repo/MS-DES/results/"/>
    </mc:Choice>
  </mc:AlternateContent>
  <xr:revisionPtr revIDLastSave="0" documentId="8_{463C10C4-9943-4F4C-A3CE-DB809E3757D2}" xr6:coauthVersionLast="47" xr6:coauthVersionMax="47" xr10:uidLastSave="{00000000-0000-0000-0000-000000000000}"/>
  <bookViews>
    <workbookView xWindow="18870" yWindow="-16320" windowWidth="29040" windowHeight="15720" xr2:uid="{9EFEF141-BFB7-4A44-BC3F-4EDF2EF82C9C}"/>
  </bookViews>
  <sheets>
    <sheet name="results warden vs descem determ" sheetId="3" r:id="rId1"/>
    <sheet name="results descem determenistic 10" sheetId="2" r:id="rId2"/>
    <sheet name="results warden determenistic 10" sheetId="1" r:id="rId3"/>
  </sheets>
  <calcPr calcId="0"/>
</workbook>
</file>

<file path=xl/calcChain.xml><?xml version="1.0" encoding="utf-8"?>
<calcChain xmlns="http://schemas.openxmlformats.org/spreadsheetml/2006/main">
  <c r="B9" i="3" l="1"/>
  <c r="C9" i="3"/>
  <c r="D9" i="3"/>
  <c r="E9" i="3"/>
  <c r="F9" i="3"/>
  <c r="G9" i="3"/>
  <c r="H9" i="3"/>
  <c r="I9" i="3"/>
  <c r="J9" i="3"/>
  <c r="K9" i="3"/>
  <c r="B10" i="3"/>
  <c r="C10" i="3"/>
  <c r="D10" i="3"/>
  <c r="E10" i="3"/>
  <c r="F10" i="3"/>
  <c r="G10" i="3"/>
  <c r="H10" i="3"/>
  <c r="I10" i="3"/>
  <c r="J10" i="3"/>
  <c r="K10" i="3"/>
  <c r="B11" i="3"/>
  <c r="C11" i="3"/>
  <c r="D11" i="3"/>
  <c r="E11" i="3"/>
  <c r="F11" i="3"/>
  <c r="G11" i="3"/>
  <c r="H11" i="3"/>
  <c r="I11" i="3"/>
  <c r="J11" i="3"/>
  <c r="K11" i="3"/>
  <c r="B12" i="3"/>
  <c r="C12" i="3"/>
  <c r="D12" i="3"/>
  <c r="E12" i="3"/>
  <c r="F12" i="3"/>
  <c r="G12" i="3"/>
  <c r="H12" i="3"/>
  <c r="I12" i="3"/>
  <c r="J12" i="3"/>
  <c r="K12" i="3"/>
  <c r="B13" i="3"/>
  <c r="C13" i="3"/>
  <c r="D13" i="3"/>
  <c r="E13" i="3"/>
  <c r="F13" i="3"/>
  <c r="G13" i="3"/>
  <c r="H13" i="3"/>
  <c r="I13" i="3"/>
  <c r="J13" i="3"/>
  <c r="K13" i="3"/>
  <c r="B14" i="3"/>
  <c r="C14" i="3"/>
  <c r="D14" i="3"/>
  <c r="E14" i="3"/>
  <c r="F14" i="3"/>
  <c r="G14" i="3"/>
  <c r="H14" i="3"/>
  <c r="I14" i="3"/>
  <c r="J14" i="3"/>
  <c r="K14" i="3"/>
  <c r="B15" i="3"/>
  <c r="C15" i="3"/>
  <c r="D15" i="3"/>
  <c r="E15" i="3"/>
  <c r="F15" i="3"/>
  <c r="G15" i="3"/>
  <c r="H15" i="3"/>
  <c r="I15" i="3"/>
  <c r="J15" i="3"/>
  <c r="K15" i="3"/>
  <c r="A10" i="3"/>
  <c r="A11" i="3"/>
  <c r="A12" i="3"/>
  <c r="A13" i="3"/>
  <c r="A14" i="3"/>
  <c r="A15" i="3"/>
  <c r="A9" i="3"/>
  <c r="B1" i="3"/>
  <c r="C1" i="3"/>
  <c r="D1" i="3"/>
  <c r="E1" i="3"/>
  <c r="F1" i="3"/>
  <c r="G1" i="3"/>
  <c r="H1" i="3"/>
  <c r="I1" i="3"/>
  <c r="J1" i="3"/>
  <c r="K1" i="3"/>
  <c r="B2" i="3"/>
  <c r="C2" i="3"/>
  <c r="D2" i="3"/>
  <c r="E2" i="3"/>
  <c r="F2" i="3"/>
  <c r="G2" i="3"/>
  <c r="H2" i="3"/>
  <c r="I2" i="3"/>
  <c r="J2" i="3"/>
  <c r="K2" i="3"/>
  <c r="B3" i="3"/>
  <c r="C3" i="3"/>
  <c r="D3" i="3"/>
  <c r="E3" i="3"/>
  <c r="F3" i="3"/>
  <c r="G3" i="3"/>
  <c r="H3" i="3"/>
  <c r="I3" i="3"/>
  <c r="J3" i="3"/>
  <c r="K3" i="3"/>
  <c r="B4" i="3"/>
  <c r="C4" i="3"/>
  <c r="D4" i="3"/>
  <c r="E4" i="3"/>
  <c r="F4" i="3"/>
  <c r="G4" i="3"/>
  <c r="H4" i="3"/>
  <c r="I4" i="3"/>
  <c r="J4" i="3"/>
  <c r="K4" i="3"/>
  <c r="B5" i="3"/>
  <c r="C5" i="3"/>
  <c r="D5" i="3"/>
  <c r="E5" i="3"/>
  <c r="F5" i="3"/>
  <c r="G5" i="3"/>
  <c r="H5" i="3"/>
  <c r="I5" i="3"/>
  <c r="J5" i="3"/>
  <c r="K5" i="3"/>
  <c r="B6" i="3"/>
  <c r="C6" i="3"/>
  <c r="D6" i="3"/>
  <c r="E6" i="3"/>
  <c r="F6" i="3"/>
  <c r="G6" i="3"/>
  <c r="H6" i="3"/>
  <c r="I6" i="3"/>
  <c r="J6" i="3"/>
  <c r="K6" i="3"/>
  <c r="B7" i="3"/>
  <c r="C7" i="3"/>
  <c r="D7" i="3"/>
  <c r="E7" i="3"/>
  <c r="F7" i="3"/>
  <c r="G7" i="3"/>
  <c r="H7" i="3"/>
  <c r="I7" i="3"/>
  <c r="J7" i="3"/>
  <c r="K7" i="3"/>
  <c r="A2" i="3"/>
  <c r="A3" i="3"/>
  <c r="A4" i="3"/>
  <c r="A5" i="3"/>
  <c r="A6" i="3"/>
  <c r="A7" i="3"/>
  <c r="A1" i="3"/>
</calcChain>
</file>

<file path=xl/sharedStrings.xml><?xml version="1.0" encoding="utf-8"?>
<sst xmlns="http://schemas.openxmlformats.org/spreadsheetml/2006/main" count="130" uniqueCount="107">
  <si>
    <t>Total costs (95% CrI)</t>
  </si>
  <si>
    <t>Total QALYs (95% CrI)</t>
  </si>
  <si>
    <t>Net benefit at Â£20,000/QALY (95% CrI)</t>
  </si>
  <si>
    <t>Net benefit at Â£30,000/QALY (95% CrI)</t>
  </si>
  <si>
    <t>Incremental costs (95% CrI)</t>
  </si>
  <si>
    <t>Incremental QALYs (95% CrI)</t>
  </si>
  <si>
    <t>INB at Â£20,000/QALY (95% CrI)</t>
  </si>
  <si>
    <t>INB at Â£30,000/QALY (95% CrI)</t>
  </si>
  <si>
    <t>CEAC at Â£20,000/QALY</t>
  </si>
  <si>
    <t>CEAC at Â£30,000/QALY</t>
  </si>
  <si>
    <t>Natalizumab-IV</t>
  </si>
  <si>
    <t>413,706.60 (409,522.40, 416,416.26)</t>
  </si>
  <si>
    <t>12.56 (12.40, 12.81)</t>
  </si>
  <si>
    <t>-162,444.83 (-168,024.42, -156,973.19)</t>
  </si>
  <si>
    <t>-36,813.94 (-43,911.55, -30,216.12)</t>
  </si>
  <si>
    <t>0.00 (0.00, 0.00)</t>
  </si>
  <si>
    <t>Natalizumab-SC</t>
  </si>
  <si>
    <t>387,926.19 (384,051.96, 394,449.02)</t>
  </si>
  <si>
    <t>12.79 (12.68, 12.91)</t>
  </si>
  <si>
    <t>-132,158.05 (-139,378.52, -126,857.49)</t>
  </si>
  <si>
    <t>-4,273.97 (-11,969.86, 1,994.33)</t>
  </si>
  <si>
    <t>-25,780.41 (-30,662.76, -19,887.10)</t>
  </si>
  <si>
    <t>0.23 (0.032, 0.42)</t>
  </si>
  <si>
    <t>30,286.78 (24,190.57, 36,451.72)</t>
  </si>
  <si>
    <t>32,539.97 (26,031.77, 40,370.31)</t>
  </si>
  <si>
    <t>Natalizumab biosimilar-IV</t>
  </si>
  <si>
    <t>405,650.98 (403,504.11, 408,895.64)</t>
  </si>
  <si>
    <t>12.83 (12.69, 12.98)</t>
  </si>
  <si>
    <t>-148,983.95 (-154,629.45, -145,522.66)</t>
  </si>
  <si>
    <t>-20,650.44 (-27,663.63, -16,101.17)</t>
  </si>
  <si>
    <t>-8,055.62 (-11,345.35, -4,410.03)</t>
  </si>
  <si>
    <t>0.27 (0.12, 0.39)</t>
  </si>
  <si>
    <t>13,460.87 (8,844.52, 18,830.38)</t>
  </si>
  <si>
    <t>16,163.50 (10,648.87, 22,770.96)</t>
  </si>
  <si>
    <t>Ublituximab</t>
  </si>
  <si>
    <t>438,994.67 (435,032.43, 445,126.49)</t>
  </si>
  <si>
    <t>12.84 (12.71, 13.05)</t>
  </si>
  <si>
    <t>-182,250.92 (-188,152.86, -177,949.63)</t>
  </si>
  <si>
    <t>-53,879.05 (-59,666.04, -47,725.75)</t>
  </si>
  <si>
    <t>25,288.07 (22,006.52, 29,422.49)</t>
  </si>
  <si>
    <t>0.27 (0.11, 0.45)</t>
  </si>
  <si>
    <t>-19,806.09 (-24,462.60, -15,165.24)</t>
  </si>
  <si>
    <t>-17,065.11 (-23,294.57, -11,574.21)</t>
  </si>
  <si>
    <t>Ofatumumab</t>
  </si>
  <si>
    <t>459,663.33 (456,150.21, 464,874.56)</t>
  </si>
  <si>
    <t>12.86 (12.61, 13.03)</t>
  </si>
  <si>
    <t>-202,562.02 (-209,358.40, -197,892.95)</t>
  </si>
  <si>
    <t>-74,011.36 (-82,953.73, -68,321.90)</t>
  </si>
  <si>
    <t>45,956.73 (42,453.03, 51,896.17)</t>
  </si>
  <si>
    <t>0.29 (0.17, 0.42)</t>
  </si>
  <si>
    <t>-40,117.19 (-45,978.80, -35,162.51)</t>
  </si>
  <si>
    <t>-37,197.42 (-43,565.63, -31,020.67)</t>
  </si>
  <si>
    <t>Ocrelizumab</t>
  </si>
  <si>
    <t>478,864.81 (476,112.00, 482,057.19)</t>
  </si>
  <si>
    <t>13.07 (12.96, 13.17)</t>
  </si>
  <si>
    <t>-217,427.73 (-220,101.86, -214,039.63)</t>
  </si>
  <si>
    <t>-86,709.19 (-89,214.96, -82,445.29)</t>
  </si>
  <si>
    <t>65,158.21 (61,697.82, 69,054.86)</t>
  </si>
  <si>
    <t>0.51 (0.36, 0.65)</t>
  </si>
  <si>
    <t>-54,982.91 (-59,153.29, -50,641.59)</t>
  </si>
  <si>
    <t>-49,895.25 (-54,571.35, -44,376.06)</t>
  </si>
  <si>
    <t>351,767.81 (349,591.07, 354,623.63)</t>
  </si>
  <si>
    <t>11.38 (11.21, 11.65)</t>
  </si>
  <si>
    <t>-124,251.55 (-129,843.49, -119,307.99)</t>
  </si>
  <si>
    <t>-10,493.42 (-17,774.04, -2,886.93)</t>
  </si>
  <si>
    <t>325,922.39 (320,647.51, 331,668.21)</t>
  </si>
  <si>
    <t>11.42 (11.14, 11.61)</t>
  </si>
  <si>
    <t>-97,619.16 (-103,706.12, -93,085.88)</t>
  </si>
  <si>
    <t>16,532.45 (8,166.11, 21,857.56)</t>
  </si>
  <si>
    <t>-25,845.42 (-31,424.25, -20,654.80)</t>
  </si>
  <si>
    <t>0.039 (-0.35, 0.30)</t>
  </si>
  <si>
    <t>26,632.39 (23,268.34, 32,198.58)</t>
  </si>
  <si>
    <t>27,025.87 (20,877.19, 34,635.05)</t>
  </si>
  <si>
    <t>342,167.73 (337,952.75, 346,469.63)</t>
  </si>
  <si>
    <t>11.46 (11.35, 11.64)</t>
  </si>
  <si>
    <t>-113,011.07 (-116,356.12, -109,542.94)</t>
  </si>
  <si>
    <t>1,567.26 (-2,105.81, 6,567.80)</t>
  </si>
  <si>
    <t>-9,600.08 (-14,069.26, -6,285.29)</t>
  </si>
  <si>
    <t>0.082 (-0.10, 0.26)</t>
  </si>
  <si>
    <t>11,240.48 (7,242.15, 16,491.94)</t>
  </si>
  <si>
    <t>12,060.68 (6,570.96, 18,056.60)</t>
  </si>
  <si>
    <t>389,298.56 (385,139.93, 391,649.12)</t>
  </si>
  <si>
    <t>11.34 (11.20, 11.46)</t>
  </si>
  <si>
    <t>-162,455.98 (-164,539.26, -160,692.42)</t>
  </si>
  <si>
    <t>-49,034.70 (-51,416.71, -46,588.98)</t>
  </si>
  <si>
    <t>37,530.76 (32,782.61, 40,767.33)</t>
  </si>
  <si>
    <t>-0.034 (-0.41, 0.19)</t>
  </si>
  <si>
    <t>-38,204.43 (-41,536.46, -34,547.34)</t>
  </si>
  <si>
    <t>-38,541.27 (-45,601.54, -33,327.22)</t>
  </si>
  <si>
    <t>390,948.77 (387,360.86, 394,350.80)</t>
  </si>
  <si>
    <t>11.42 (11.14, 11.60)</t>
  </si>
  <si>
    <t>-162,577.89 (-166,015.78, -159,484.55)</t>
  </si>
  <si>
    <t>-48,392.46 (-54,392.58, -44,016.08)</t>
  </si>
  <si>
    <t>39,180.96 (34,826.41, 43,593.84)</t>
  </si>
  <si>
    <t>0.043 (-0.47, 0.35)</t>
  </si>
  <si>
    <t>-38,326.34 (-46,520.60, -32,085.83)</t>
  </si>
  <si>
    <t>-37,899.03 (-51,108.70, -28,844.24)</t>
  </si>
  <si>
    <t>412,864.45 (409,758.08, 418,414.00)</t>
  </si>
  <si>
    <t>11.36 (11.21, 11.69)</t>
  </si>
  <si>
    <t>-185,635.63 (-188,480.40, -182,103.67)</t>
  </si>
  <si>
    <t>-72,021.22 (-75,501.94, -66,621.48)</t>
  </si>
  <si>
    <t>61,096.64 (55,146.68, 68,608.62)</t>
  </si>
  <si>
    <t>-0.014 (-0.26, 0.34)</t>
  </si>
  <si>
    <t>-61,384.08 (-67,210.04, -53,340.17)</t>
  </si>
  <si>
    <t>-61,527.79 (-69,422.64, -52,230.86)</t>
  </si>
  <si>
    <t>DESCEM</t>
  </si>
  <si>
    <t>WARDEN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</si>
</sst>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36F33-07DB-46CF-8295-7992C98DC215}">
  <dimension ref="A1:K15"/>
  <sheetViews>
    <sheetView tabSelected="1" workbookViewId="0">
      <selection activeCell="C39" sqref="C39"/>
    </sheetView>
  </sheetViews>
  <sheetFormatPr defaultRowHeight="14.4" x14ac:dyDescent="0.3"/>
  <cols>
    <col min="1" max="1" width="24.109375" bestFit="1" customWidth="1"/>
    <col min="2" max="2" width="31.21875" bestFit="1" customWidth="1"/>
    <col min="3" max="3" width="19.33203125" bestFit="1" customWidth="1"/>
    <col min="4" max="5" width="34" bestFit="1" customWidth="1"/>
    <col min="6" max="6" width="30.21875" bestFit="1" customWidth="1"/>
    <col min="7" max="7" width="25.5546875" bestFit="1" customWidth="1"/>
    <col min="8" max="9" width="30.21875" bestFit="1" customWidth="1"/>
    <col min="10" max="11" width="20.6640625" bestFit="1" customWidth="1"/>
  </cols>
  <sheetData>
    <row r="1" spans="1:11" x14ac:dyDescent="0.3">
      <c r="A1" t="str">
        <f>'results descem determenistic 10'!A1</f>
        <v>DESCEM</v>
      </c>
      <c r="B1" t="str">
        <f>'results descem determenistic 10'!B1</f>
        <v>Total costs (95% CrI)</v>
      </c>
      <c r="C1" t="str">
        <f>'results descem determenistic 10'!C1</f>
        <v>Total QALYs (95% CrI)</v>
      </c>
      <c r="D1" t="str">
        <f>'results descem determenistic 10'!D1</f>
        <v>Net benefit at Â£20,000/QALY (95% CrI)</v>
      </c>
      <c r="E1" t="str">
        <f>'results descem determenistic 10'!E1</f>
        <v>Net benefit at Â£30,000/QALY (95% CrI)</v>
      </c>
      <c r="F1" t="str">
        <f>'results descem determenistic 10'!F1</f>
        <v>Incremental costs (95% CrI)</v>
      </c>
      <c r="G1" t="str">
        <f>'results descem determenistic 10'!G1</f>
        <v>Incremental QALYs (95% CrI)</v>
      </c>
      <c r="H1" t="str">
        <f>'results descem determenistic 10'!H1</f>
        <v>INB at Â£20,000/QALY (95% CrI)</v>
      </c>
      <c r="I1" t="str">
        <f>'results descem determenistic 10'!I1</f>
        <v>INB at Â£30,000/QALY (95% CrI)</v>
      </c>
      <c r="J1" t="str">
        <f>'results descem determenistic 10'!J1</f>
        <v>CEAC at Â£20,000/QALY</v>
      </c>
      <c r="K1" t="str">
        <f>'results descem determenistic 10'!K1</f>
        <v>CEAC at Â£30,000/QALY</v>
      </c>
    </row>
    <row r="2" spans="1:11" x14ac:dyDescent="0.3">
      <c r="A2" t="str">
        <f>'results descem determenistic 10'!A2</f>
        <v>Natalizumab-IV</v>
      </c>
      <c r="B2" t="str">
        <f>'results descem determenistic 10'!B2</f>
        <v>351,767.81 (349,591.07, 354,623.63)</v>
      </c>
      <c r="C2" t="str">
        <f>'results descem determenistic 10'!C2</f>
        <v>11.38 (11.21, 11.65)</v>
      </c>
      <c r="D2" t="str">
        <f>'results descem determenistic 10'!D2</f>
        <v>-124,251.55 (-129,843.49, -119,307.99)</v>
      </c>
      <c r="E2" t="str">
        <f>'results descem determenistic 10'!E2</f>
        <v>-10,493.42 (-17,774.04, -2,886.93)</v>
      </c>
      <c r="F2" t="str">
        <f>'results descem determenistic 10'!F2</f>
        <v>0.00 (0.00, 0.00)</v>
      </c>
      <c r="G2" t="str">
        <f>'results descem determenistic 10'!G2</f>
        <v>0.00 (0.00, 0.00)</v>
      </c>
      <c r="H2" t="str">
        <f>'results descem determenistic 10'!H2</f>
        <v>0.00 (0.00, 0.00)</v>
      </c>
      <c r="I2" t="str">
        <f>'results descem determenistic 10'!I2</f>
        <v>0.00 (0.00, 0.00)</v>
      </c>
      <c r="J2">
        <f>'results descem determenistic 10'!J2</f>
        <v>0</v>
      </c>
      <c r="K2">
        <f>'results descem determenistic 10'!K2</f>
        <v>0</v>
      </c>
    </row>
    <row r="3" spans="1:11" x14ac:dyDescent="0.3">
      <c r="A3" t="str">
        <f>'results descem determenistic 10'!A3</f>
        <v>Natalizumab-SC</v>
      </c>
      <c r="B3" t="str">
        <f>'results descem determenistic 10'!B3</f>
        <v>325,922.39 (320,647.51, 331,668.21)</v>
      </c>
      <c r="C3" t="str">
        <f>'results descem determenistic 10'!C3</f>
        <v>11.42 (11.14, 11.61)</v>
      </c>
      <c r="D3" t="str">
        <f>'results descem determenistic 10'!D3</f>
        <v>-97,619.16 (-103,706.12, -93,085.88)</v>
      </c>
      <c r="E3" t="str">
        <f>'results descem determenistic 10'!E3</f>
        <v>16,532.45 (8,166.11, 21,857.56)</v>
      </c>
      <c r="F3" t="str">
        <f>'results descem determenistic 10'!F3</f>
        <v>-25,845.42 (-31,424.25, -20,654.80)</v>
      </c>
      <c r="G3" t="str">
        <f>'results descem determenistic 10'!G3</f>
        <v>0.039 (-0.35, 0.30)</v>
      </c>
      <c r="H3" t="str">
        <f>'results descem determenistic 10'!H3</f>
        <v>26,632.39 (23,268.34, 32,198.58)</v>
      </c>
      <c r="I3" t="str">
        <f>'results descem determenistic 10'!I3</f>
        <v>27,025.87 (20,877.19, 34,635.05)</v>
      </c>
      <c r="J3">
        <f>'results descem determenistic 10'!J3</f>
        <v>1</v>
      </c>
      <c r="K3">
        <f>'results descem determenistic 10'!K3</f>
        <v>1</v>
      </c>
    </row>
    <row r="4" spans="1:11" x14ac:dyDescent="0.3">
      <c r="A4" t="str">
        <f>'results descem determenistic 10'!A4</f>
        <v>Natalizumab biosimilar-IV</v>
      </c>
      <c r="B4" t="str">
        <f>'results descem determenistic 10'!B4</f>
        <v>342,167.73 (337,952.75, 346,469.63)</v>
      </c>
      <c r="C4" t="str">
        <f>'results descem determenistic 10'!C4</f>
        <v>11.46 (11.35, 11.64)</v>
      </c>
      <c r="D4" t="str">
        <f>'results descem determenistic 10'!D4</f>
        <v>-113,011.07 (-116,356.12, -109,542.94)</v>
      </c>
      <c r="E4" t="str">
        <f>'results descem determenistic 10'!E4</f>
        <v>1,567.26 (-2,105.81, 6,567.80)</v>
      </c>
      <c r="F4" t="str">
        <f>'results descem determenistic 10'!F4</f>
        <v>-9,600.08 (-14,069.26, -6,285.29)</v>
      </c>
      <c r="G4" t="str">
        <f>'results descem determenistic 10'!G4</f>
        <v>0.082 (-0.10, 0.26)</v>
      </c>
      <c r="H4" t="str">
        <f>'results descem determenistic 10'!H4</f>
        <v>11,240.48 (7,242.15, 16,491.94)</v>
      </c>
      <c r="I4" t="str">
        <f>'results descem determenistic 10'!I4</f>
        <v>12,060.68 (6,570.96, 18,056.60)</v>
      </c>
      <c r="J4">
        <f>'results descem determenistic 10'!J4</f>
        <v>0</v>
      </c>
      <c r="K4">
        <f>'results descem determenistic 10'!K4</f>
        <v>0</v>
      </c>
    </row>
    <row r="5" spans="1:11" x14ac:dyDescent="0.3">
      <c r="A5" t="str">
        <f>'results descem determenistic 10'!A5</f>
        <v>Ublituximab</v>
      </c>
      <c r="B5" t="str">
        <f>'results descem determenistic 10'!B5</f>
        <v>389,298.56 (385,139.93, 391,649.12)</v>
      </c>
      <c r="C5" t="str">
        <f>'results descem determenistic 10'!C5</f>
        <v>11.34 (11.20, 11.46)</v>
      </c>
      <c r="D5" t="str">
        <f>'results descem determenistic 10'!D5</f>
        <v>-162,455.98 (-164,539.26, -160,692.42)</v>
      </c>
      <c r="E5" t="str">
        <f>'results descem determenistic 10'!E5</f>
        <v>-49,034.70 (-51,416.71, -46,588.98)</v>
      </c>
      <c r="F5" t="str">
        <f>'results descem determenistic 10'!F5</f>
        <v>37,530.76 (32,782.61, 40,767.33)</v>
      </c>
      <c r="G5" t="str">
        <f>'results descem determenistic 10'!G5</f>
        <v>-0.034 (-0.41, 0.19)</v>
      </c>
      <c r="H5" t="str">
        <f>'results descem determenistic 10'!H5</f>
        <v>-38,204.43 (-41,536.46, -34,547.34)</v>
      </c>
      <c r="I5" t="str">
        <f>'results descem determenistic 10'!I5</f>
        <v>-38,541.27 (-45,601.54, -33,327.22)</v>
      </c>
      <c r="J5">
        <f>'results descem determenistic 10'!J5</f>
        <v>0</v>
      </c>
      <c r="K5">
        <f>'results descem determenistic 10'!K5</f>
        <v>0</v>
      </c>
    </row>
    <row r="6" spans="1:11" x14ac:dyDescent="0.3">
      <c r="A6" t="str">
        <f>'results descem determenistic 10'!A6</f>
        <v>Ofatumumab</v>
      </c>
      <c r="B6" t="str">
        <f>'results descem determenistic 10'!B6</f>
        <v>390,948.77 (387,360.86, 394,350.80)</v>
      </c>
      <c r="C6" t="str">
        <f>'results descem determenistic 10'!C6</f>
        <v>11.42 (11.14, 11.60)</v>
      </c>
      <c r="D6" t="str">
        <f>'results descem determenistic 10'!D6</f>
        <v>-162,577.89 (-166,015.78, -159,484.55)</v>
      </c>
      <c r="E6" t="str">
        <f>'results descem determenistic 10'!E6</f>
        <v>-48,392.46 (-54,392.58, -44,016.08)</v>
      </c>
      <c r="F6" t="str">
        <f>'results descem determenistic 10'!F6</f>
        <v>39,180.96 (34,826.41, 43,593.84)</v>
      </c>
      <c r="G6" t="str">
        <f>'results descem determenistic 10'!G6</f>
        <v>0.043 (-0.47, 0.35)</v>
      </c>
      <c r="H6" t="str">
        <f>'results descem determenistic 10'!H6</f>
        <v>-38,326.34 (-46,520.60, -32,085.83)</v>
      </c>
      <c r="I6" t="str">
        <f>'results descem determenistic 10'!I6</f>
        <v>-37,899.03 (-51,108.70, -28,844.24)</v>
      </c>
      <c r="J6">
        <f>'results descem determenistic 10'!J6</f>
        <v>0</v>
      </c>
      <c r="K6">
        <f>'results descem determenistic 10'!K6</f>
        <v>0</v>
      </c>
    </row>
    <row r="7" spans="1:11" x14ac:dyDescent="0.3">
      <c r="A7" t="str">
        <f>'results descem determenistic 10'!A7</f>
        <v>Ocrelizumab</v>
      </c>
      <c r="B7" t="str">
        <f>'results descem determenistic 10'!B7</f>
        <v>412,864.45 (409,758.08, 418,414.00)</v>
      </c>
      <c r="C7" t="str">
        <f>'results descem determenistic 10'!C7</f>
        <v>11.36 (11.21, 11.69)</v>
      </c>
      <c r="D7" t="str">
        <f>'results descem determenistic 10'!D7</f>
        <v>-185,635.63 (-188,480.40, -182,103.67)</v>
      </c>
      <c r="E7" t="str">
        <f>'results descem determenistic 10'!E7</f>
        <v>-72,021.22 (-75,501.94, -66,621.48)</v>
      </c>
      <c r="F7" t="str">
        <f>'results descem determenistic 10'!F7</f>
        <v>61,096.64 (55,146.68, 68,608.62)</v>
      </c>
      <c r="G7" t="str">
        <f>'results descem determenistic 10'!G7</f>
        <v>-0.014 (-0.26, 0.34)</v>
      </c>
      <c r="H7" t="str">
        <f>'results descem determenistic 10'!H7</f>
        <v>-61,384.08 (-67,210.04, -53,340.17)</v>
      </c>
      <c r="I7" t="str">
        <f>'results descem determenistic 10'!I7</f>
        <v>-61,527.79 (-69,422.64, -52,230.86)</v>
      </c>
      <c r="J7">
        <f>'results descem determenistic 10'!J7</f>
        <v>0</v>
      </c>
      <c r="K7">
        <f>'results descem determenistic 10'!K7</f>
        <v>0</v>
      </c>
    </row>
    <row r="9" spans="1:11" x14ac:dyDescent="0.3">
      <c r="A9" t="str">
        <f>'results warden determenistic 10'!A1</f>
        <v>WARDEN</v>
      </c>
      <c r="B9" t="str">
        <f>'results warden determenistic 10'!B1</f>
        <v>Total costs (95% CrI)</v>
      </c>
      <c r="C9" t="str">
        <f>'results warden determenistic 10'!C1</f>
        <v>Total QALYs (95% CrI)</v>
      </c>
      <c r="D9" t="str">
        <f>'results warden determenistic 10'!D1</f>
        <v>Net benefit at Â£20,000/QALY (95% CrI)</v>
      </c>
      <c r="E9" t="str">
        <f>'results warden determenistic 10'!E1</f>
        <v>Net benefit at Â£30,000/QALY (95% CrI)</v>
      </c>
      <c r="F9" t="str">
        <f>'results warden determenistic 10'!F1</f>
        <v>Incremental costs (95% CrI)</v>
      </c>
      <c r="G9" t="str">
        <f>'results warden determenistic 10'!G1</f>
        <v>Incremental QALYs (95% CrI)</v>
      </c>
      <c r="H9" t="str">
        <f>'results warden determenistic 10'!H1</f>
        <v>INB at Â£20,000/QALY (95% CrI)</v>
      </c>
      <c r="I9" t="str">
        <f>'results warden determenistic 10'!I1</f>
        <v>INB at Â£30,000/QALY (95% CrI)</v>
      </c>
      <c r="J9" t="str">
        <f>'results warden determenistic 10'!J1</f>
        <v>CEAC at Â£20,000/QALY</v>
      </c>
      <c r="K9" t="str">
        <f>'results warden determenistic 10'!K1</f>
        <v>CEAC at Â£30,000/QALY</v>
      </c>
    </row>
    <row r="10" spans="1:11" x14ac:dyDescent="0.3">
      <c r="A10" t="str">
        <f>'results warden determenistic 10'!A2</f>
        <v>Natalizumab-IV</v>
      </c>
      <c r="B10" t="str">
        <f>'results warden determenistic 10'!B2</f>
        <v>413,706.60 (409,522.40, 416,416.26)</v>
      </c>
      <c r="C10" t="str">
        <f>'results warden determenistic 10'!C2</f>
        <v>12.56 (12.40, 12.81)</v>
      </c>
      <c r="D10" t="str">
        <f>'results warden determenistic 10'!D2</f>
        <v>-162,444.83 (-168,024.42, -156,973.19)</v>
      </c>
      <c r="E10" t="str">
        <f>'results warden determenistic 10'!E2</f>
        <v>-36,813.94 (-43,911.55, -30,216.12)</v>
      </c>
      <c r="F10" t="str">
        <f>'results warden determenistic 10'!F2</f>
        <v>0.00 (0.00, 0.00)</v>
      </c>
      <c r="G10" t="str">
        <f>'results warden determenistic 10'!G2</f>
        <v>0.00 (0.00, 0.00)</v>
      </c>
      <c r="H10" t="str">
        <f>'results warden determenistic 10'!H2</f>
        <v>0.00 (0.00, 0.00)</v>
      </c>
      <c r="I10" t="str">
        <f>'results warden determenistic 10'!I2</f>
        <v>0.00 (0.00, 0.00)</v>
      </c>
      <c r="J10">
        <f>'results warden determenistic 10'!J2</f>
        <v>0</v>
      </c>
      <c r="K10">
        <f>'results warden determenistic 10'!K2</f>
        <v>0</v>
      </c>
    </row>
    <row r="11" spans="1:11" x14ac:dyDescent="0.3">
      <c r="A11" t="str">
        <f>'results warden determenistic 10'!A3</f>
        <v>Natalizumab-SC</v>
      </c>
      <c r="B11" t="str">
        <f>'results warden determenistic 10'!B3</f>
        <v>387,926.19 (384,051.96, 394,449.02)</v>
      </c>
      <c r="C11" t="str">
        <f>'results warden determenistic 10'!C3</f>
        <v>12.79 (12.68, 12.91)</v>
      </c>
      <c r="D11" t="str">
        <f>'results warden determenistic 10'!D3</f>
        <v>-132,158.05 (-139,378.52, -126,857.49)</v>
      </c>
      <c r="E11" t="str">
        <f>'results warden determenistic 10'!E3</f>
        <v>-4,273.97 (-11,969.86, 1,994.33)</v>
      </c>
      <c r="F11" t="str">
        <f>'results warden determenistic 10'!F3</f>
        <v>-25,780.41 (-30,662.76, -19,887.10)</v>
      </c>
      <c r="G11" t="str">
        <f>'results warden determenistic 10'!G3</f>
        <v>0.23 (0.032, 0.42)</v>
      </c>
      <c r="H11" t="str">
        <f>'results warden determenistic 10'!H3</f>
        <v>30,286.78 (24,190.57, 36,451.72)</v>
      </c>
      <c r="I11" t="str">
        <f>'results warden determenistic 10'!I3</f>
        <v>32,539.97 (26,031.77, 40,370.31)</v>
      </c>
      <c r="J11">
        <f>'results warden determenistic 10'!J3</f>
        <v>1</v>
      </c>
      <c r="K11">
        <f>'results warden determenistic 10'!K3</f>
        <v>1</v>
      </c>
    </row>
    <row r="12" spans="1:11" x14ac:dyDescent="0.3">
      <c r="A12" t="str">
        <f>'results warden determenistic 10'!A4</f>
        <v>Natalizumab biosimilar-IV</v>
      </c>
      <c r="B12" t="str">
        <f>'results warden determenistic 10'!B4</f>
        <v>405,650.98 (403,504.11, 408,895.64)</v>
      </c>
      <c r="C12" t="str">
        <f>'results warden determenistic 10'!C4</f>
        <v>12.83 (12.69, 12.98)</v>
      </c>
      <c r="D12" t="str">
        <f>'results warden determenistic 10'!D4</f>
        <v>-148,983.95 (-154,629.45, -145,522.66)</v>
      </c>
      <c r="E12" t="str">
        <f>'results warden determenistic 10'!E4</f>
        <v>-20,650.44 (-27,663.63, -16,101.17)</v>
      </c>
      <c r="F12" t="str">
        <f>'results warden determenistic 10'!F4</f>
        <v>-8,055.62 (-11,345.35, -4,410.03)</v>
      </c>
      <c r="G12" t="str">
        <f>'results warden determenistic 10'!G4</f>
        <v>0.27 (0.12, 0.39)</v>
      </c>
      <c r="H12" t="str">
        <f>'results warden determenistic 10'!H4</f>
        <v>13,460.87 (8,844.52, 18,830.38)</v>
      </c>
      <c r="I12" t="str">
        <f>'results warden determenistic 10'!I4</f>
        <v>16,163.50 (10,648.87, 22,770.96)</v>
      </c>
      <c r="J12">
        <f>'results warden determenistic 10'!J4</f>
        <v>0</v>
      </c>
      <c r="K12">
        <f>'results warden determenistic 10'!K4</f>
        <v>0</v>
      </c>
    </row>
    <row r="13" spans="1:11" x14ac:dyDescent="0.3">
      <c r="A13" t="str">
        <f>'results warden determenistic 10'!A5</f>
        <v>Ublituximab</v>
      </c>
      <c r="B13" t="str">
        <f>'results warden determenistic 10'!B5</f>
        <v>438,994.67 (435,032.43, 445,126.49)</v>
      </c>
      <c r="C13" t="str">
        <f>'results warden determenistic 10'!C5</f>
        <v>12.84 (12.71, 13.05)</v>
      </c>
      <c r="D13" t="str">
        <f>'results warden determenistic 10'!D5</f>
        <v>-182,250.92 (-188,152.86, -177,949.63)</v>
      </c>
      <c r="E13" t="str">
        <f>'results warden determenistic 10'!E5</f>
        <v>-53,879.05 (-59,666.04, -47,725.75)</v>
      </c>
      <c r="F13" t="str">
        <f>'results warden determenistic 10'!F5</f>
        <v>25,288.07 (22,006.52, 29,422.49)</v>
      </c>
      <c r="G13" t="str">
        <f>'results warden determenistic 10'!G5</f>
        <v>0.27 (0.11, 0.45)</v>
      </c>
      <c r="H13" t="str">
        <f>'results warden determenistic 10'!H5</f>
        <v>-19,806.09 (-24,462.60, -15,165.24)</v>
      </c>
      <c r="I13" t="str">
        <f>'results warden determenistic 10'!I5</f>
        <v>-17,065.11 (-23,294.57, -11,574.21)</v>
      </c>
      <c r="J13">
        <f>'results warden determenistic 10'!J5</f>
        <v>0</v>
      </c>
      <c r="K13">
        <f>'results warden determenistic 10'!K5</f>
        <v>0</v>
      </c>
    </row>
    <row r="14" spans="1:11" x14ac:dyDescent="0.3">
      <c r="A14" t="str">
        <f>'results warden determenistic 10'!A6</f>
        <v>Ofatumumab</v>
      </c>
      <c r="B14" t="str">
        <f>'results warden determenistic 10'!B6</f>
        <v>459,663.33 (456,150.21, 464,874.56)</v>
      </c>
      <c r="C14" t="str">
        <f>'results warden determenistic 10'!C6</f>
        <v>12.86 (12.61, 13.03)</v>
      </c>
      <c r="D14" t="str">
        <f>'results warden determenistic 10'!D6</f>
        <v>-202,562.02 (-209,358.40, -197,892.95)</v>
      </c>
      <c r="E14" t="str">
        <f>'results warden determenistic 10'!E6</f>
        <v>-74,011.36 (-82,953.73, -68,321.90)</v>
      </c>
      <c r="F14" t="str">
        <f>'results warden determenistic 10'!F6</f>
        <v>45,956.73 (42,453.03, 51,896.17)</v>
      </c>
      <c r="G14" t="str">
        <f>'results warden determenistic 10'!G6</f>
        <v>0.29 (0.17, 0.42)</v>
      </c>
      <c r="H14" t="str">
        <f>'results warden determenistic 10'!H6</f>
        <v>-40,117.19 (-45,978.80, -35,162.51)</v>
      </c>
      <c r="I14" t="str">
        <f>'results warden determenistic 10'!I6</f>
        <v>-37,197.42 (-43,565.63, -31,020.67)</v>
      </c>
      <c r="J14">
        <f>'results warden determenistic 10'!J6</f>
        <v>0</v>
      </c>
      <c r="K14">
        <f>'results warden determenistic 10'!K6</f>
        <v>0</v>
      </c>
    </row>
    <row r="15" spans="1:11" x14ac:dyDescent="0.3">
      <c r="A15" t="str">
        <f>'results warden determenistic 10'!A7</f>
        <v>Ocrelizumab</v>
      </c>
      <c r="B15" t="str">
        <f>'results warden determenistic 10'!B7</f>
        <v>478,864.81 (476,112.00, 482,057.19)</v>
      </c>
      <c r="C15" t="str">
        <f>'results warden determenistic 10'!C7</f>
        <v>13.07 (12.96, 13.17)</v>
      </c>
      <c r="D15" t="str">
        <f>'results warden determenistic 10'!D7</f>
        <v>-217,427.73 (-220,101.86, -214,039.63)</v>
      </c>
      <c r="E15" t="str">
        <f>'results warden determenistic 10'!E7</f>
        <v>-86,709.19 (-89,214.96, -82,445.29)</v>
      </c>
      <c r="F15" t="str">
        <f>'results warden determenistic 10'!F7</f>
        <v>65,158.21 (61,697.82, 69,054.86)</v>
      </c>
      <c r="G15" t="str">
        <f>'results warden determenistic 10'!G7</f>
        <v>0.51 (0.36, 0.65)</v>
      </c>
      <c r="H15" t="str">
        <f>'results warden determenistic 10'!H7</f>
        <v>-54,982.91 (-59,153.29, -50,641.59)</v>
      </c>
      <c r="I15" t="str">
        <f>'results warden determenistic 10'!I7</f>
        <v>-49,895.25 (-54,571.35, -44,376.06)</v>
      </c>
      <c r="J15">
        <f>'results warden determenistic 10'!J7</f>
        <v>0</v>
      </c>
      <c r="K15">
        <f>'results warden determenistic 10'!K7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F48FA-EC20-46E1-B863-28EFFFF6E464}">
  <dimension ref="A1:K7"/>
  <sheetViews>
    <sheetView workbookViewId="0">
      <selection activeCell="I34" sqref="I34"/>
    </sheetView>
  </sheetViews>
  <sheetFormatPr defaultRowHeight="14.4" x14ac:dyDescent="0.3"/>
  <sheetData>
    <row r="1" spans="1:11" x14ac:dyDescent="0.3">
      <c r="A1" t="s">
        <v>105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61</v>
      </c>
      <c r="C2" t="s">
        <v>62</v>
      </c>
      <c r="D2" t="s">
        <v>63</v>
      </c>
      <c r="E2" t="s">
        <v>64</v>
      </c>
      <c r="F2" t="s">
        <v>15</v>
      </c>
      <c r="G2" t="s">
        <v>15</v>
      </c>
      <c r="H2" t="s">
        <v>15</v>
      </c>
      <c r="I2" t="s">
        <v>15</v>
      </c>
      <c r="J2">
        <v>0</v>
      </c>
      <c r="K2">
        <v>0</v>
      </c>
    </row>
    <row r="3" spans="1:11" x14ac:dyDescent="0.3">
      <c r="A3" t="s">
        <v>16</v>
      </c>
      <c r="B3" t="s">
        <v>65</v>
      </c>
      <c r="C3" t="s">
        <v>66</v>
      </c>
      <c r="D3" t="s">
        <v>67</v>
      </c>
      <c r="E3" t="s">
        <v>68</v>
      </c>
      <c r="F3" t="s">
        <v>69</v>
      </c>
      <c r="G3" t="s">
        <v>70</v>
      </c>
      <c r="H3" t="s">
        <v>71</v>
      </c>
      <c r="I3" t="s">
        <v>72</v>
      </c>
      <c r="J3">
        <v>1</v>
      </c>
      <c r="K3">
        <v>1</v>
      </c>
    </row>
    <row r="4" spans="1:11" x14ac:dyDescent="0.3">
      <c r="A4" t="s">
        <v>25</v>
      </c>
      <c r="B4" t="s">
        <v>73</v>
      </c>
      <c r="C4" t="s">
        <v>74</v>
      </c>
      <c r="D4" t="s">
        <v>75</v>
      </c>
      <c r="E4" t="s">
        <v>76</v>
      </c>
      <c r="F4" t="s">
        <v>77</v>
      </c>
      <c r="G4" t="s">
        <v>78</v>
      </c>
      <c r="H4" t="s">
        <v>79</v>
      </c>
      <c r="I4" t="s">
        <v>80</v>
      </c>
      <c r="J4">
        <v>0</v>
      </c>
      <c r="K4">
        <v>0</v>
      </c>
    </row>
    <row r="5" spans="1:11" x14ac:dyDescent="0.3">
      <c r="A5" t="s">
        <v>34</v>
      </c>
      <c r="B5" t="s">
        <v>81</v>
      </c>
      <c r="C5" t="s">
        <v>82</v>
      </c>
      <c r="D5" t="s">
        <v>83</v>
      </c>
      <c r="E5" t="s">
        <v>84</v>
      </c>
      <c r="F5" t="s">
        <v>85</v>
      </c>
      <c r="G5" t="s">
        <v>86</v>
      </c>
      <c r="H5" t="s">
        <v>87</v>
      </c>
      <c r="I5" t="s">
        <v>88</v>
      </c>
      <c r="J5">
        <v>0</v>
      </c>
      <c r="K5">
        <v>0</v>
      </c>
    </row>
    <row r="6" spans="1:11" x14ac:dyDescent="0.3">
      <c r="A6" t="s">
        <v>43</v>
      </c>
      <c r="B6" t="s">
        <v>89</v>
      </c>
      <c r="C6" t="s">
        <v>90</v>
      </c>
      <c r="D6" t="s">
        <v>91</v>
      </c>
      <c r="E6" t="s">
        <v>92</v>
      </c>
      <c r="F6" t="s">
        <v>93</v>
      </c>
      <c r="G6" t="s">
        <v>94</v>
      </c>
      <c r="H6" t="s">
        <v>95</v>
      </c>
      <c r="I6" t="s">
        <v>96</v>
      </c>
      <c r="J6">
        <v>0</v>
      </c>
      <c r="K6">
        <v>0</v>
      </c>
    </row>
    <row r="7" spans="1:11" x14ac:dyDescent="0.3">
      <c r="A7" t="s">
        <v>52</v>
      </c>
      <c r="B7" t="s">
        <v>97</v>
      </c>
      <c r="C7" t="s">
        <v>98</v>
      </c>
      <c r="D7" t="s">
        <v>99</v>
      </c>
      <c r="E7" t="s">
        <v>100</v>
      </c>
      <c r="F7" t="s">
        <v>101</v>
      </c>
      <c r="G7" t="s">
        <v>102</v>
      </c>
      <c r="H7" t="s">
        <v>103</v>
      </c>
      <c r="I7" t="s">
        <v>104</v>
      </c>
      <c r="J7">
        <v>0</v>
      </c>
      <c r="K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39BC99-3129-4BF5-9898-4D85B8EE7741}">
  <dimension ref="A1:K7"/>
  <sheetViews>
    <sheetView workbookViewId="0">
      <selection activeCell="A2" sqref="A2"/>
    </sheetView>
  </sheetViews>
  <sheetFormatPr defaultRowHeight="14.4" x14ac:dyDescent="0.3"/>
  <sheetData>
    <row r="1" spans="1:11" x14ac:dyDescent="0.3">
      <c r="A1" t="s">
        <v>106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15</v>
      </c>
      <c r="I2" t="s">
        <v>15</v>
      </c>
      <c r="J2">
        <v>0</v>
      </c>
      <c r="K2">
        <v>0</v>
      </c>
    </row>
    <row r="3" spans="1:11" x14ac:dyDescent="0.3">
      <c r="A3" t="s">
        <v>16</v>
      </c>
      <c r="B3" t="s">
        <v>17</v>
      </c>
      <c r="C3" t="s">
        <v>18</v>
      </c>
      <c r="D3" t="s">
        <v>19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>
        <v>1</v>
      </c>
      <c r="K3">
        <v>1</v>
      </c>
    </row>
    <row r="4" spans="1:11" x14ac:dyDescent="0.3">
      <c r="A4" t="s">
        <v>25</v>
      </c>
      <c r="B4" t="s">
        <v>26</v>
      </c>
      <c r="C4" t="s">
        <v>27</v>
      </c>
      <c r="D4" t="s">
        <v>28</v>
      </c>
      <c r="E4" t="s">
        <v>29</v>
      </c>
      <c r="F4" t="s">
        <v>30</v>
      </c>
      <c r="G4" t="s">
        <v>31</v>
      </c>
      <c r="H4" t="s">
        <v>32</v>
      </c>
      <c r="I4" t="s">
        <v>33</v>
      </c>
      <c r="J4">
        <v>0</v>
      </c>
      <c r="K4">
        <v>0</v>
      </c>
    </row>
    <row r="5" spans="1:11" x14ac:dyDescent="0.3">
      <c r="A5" t="s">
        <v>34</v>
      </c>
      <c r="B5" t="s">
        <v>35</v>
      </c>
      <c r="C5" t="s">
        <v>36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>
        <v>0</v>
      </c>
      <c r="K5">
        <v>0</v>
      </c>
    </row>
    <row r="6" spans="1:11" x14ac:dyDescent="0.3">
      <c r="A6" t="s">
        <v>43</v>
      </c>
      <c r="B6" t="s">
        <v>44</v>
      </c>
      <c r="C6" t="s">
        <v>45</v>
      </c>
      <c r="D6" t="s">
        <v>46</v>
      </c>
      <c r="E6" t="s">
        <v>47</v>
      </c>
      <c r="F6" t="s">
        <v>48</v>
      </c>
      <c r="G6" t="s">
        <v>49</v>
      </c>
      <c r="H6" t="s">
        <v>50</v>
      </c>
      <c r="I6" t="s">
        <v>51</v>
      </c>
      <c r="J6">
        <v>0</v>
      </c>
      <c r="K6">
        <v>0</v>
      </c>
    </row>
    <row r="7" spans="1:11" x14ac:dyDescent="0.3">
      <c r="A7" t="s">
        <v>52</v>
      </c>
      <c r="B7" t="s">
        <v>53</v>
      </c>
      <c r="C7" t="s">
        <v>54</v>
      </c>
      <c r="D7" t="s">
        <v>55</v>
      </c>
      <c r="E7" t="s">
        <v>56</v>
      </c>
      <c r="F7" t="s">
        <v>57</v>
      </c>
      <c r="G7" t="s">
        <v>58</v>
      </c>
      <c r="H7" t="s">
        <v>59</v>
      </c>
      <c r="I7" t="s">
        <v>60</v>
      </c>
      <c r="J7">
        <v>0</v>
      </c>
      <c r="K7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E3D2A8E3060445845CB33F649944D9" ma:contentTypeVersion="12" ma:contentTypeDescription="Create a new document." ma:contentTypeScope="" ma:versionID="904d962808a52fea145147f501824070">
  <xsd:schema xmlns:xsd="http://www.w3.org/2001/XMLSchema" xmlns:xs="http://www.w3.org/2001/XMLSchema" xmlns:p="http://schemas.microsoft.com/office/2006/metadata/properties" xmlns:ns2="a4e98822-f433-4c96-8830-5cb2d7491f7d" xmlns:ns3="adc125f1-7df9-46f4-a9a7-022dd426a2bb" targetNamespace="http://schemas.microsoft.com/office/2006/metadata/properties" ma:root="true" ma:fieldsID="2ea18719b0589a0490468c8ade8a27c2" ns2:_="" ns3:_="">
    <xsd:import namespace="a4e98822-f433-4c96-8830-5cb2d7491f7d"/>
    <xsd:import namespace="adc125f1-7df9-46f4-a9a7-022dd426a2b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e98822-f433-4c96-8830-5cb2d7491f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dd084387-097e-4aef-8f33-0dee7b0eb57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dc125f1-7df9-46f4-a9a7-022dd426a2b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4e98822-f433-4c96-8830-5cb2d7491f7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4B6056A-3E16-48CE-B0AD-B22DC08E047C}"/>
</file>

<file path=customXml/itemProps2.xml><?xml version="1.0" encoding="utf-8"?>
<ds:datastoreItem xmlns:ds="http://schemas.openxmlformats.org/officeDocument/2006/customXml" ds:itemID="{1808207F-0155-43DF-9744-D2471FE7D459}"/>
</file>

<file path=customXml/itemProps3.xml><?xml version="1.0" encoding="utf-8"?>
<ds:datastoreItem xmlns:ds="http://schemas.openxmlformats.org/officeDocument/2006/customXml" ds:itemID="{F998D516-7D9E-40C0-A203-044E31DF085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results warden vs descem determ</vt:lpstr>
      <vt:lpstr>results descem determenistic 10</vt:lpstr>
      <vt:lpstr>results warden determenistic 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Ayman Sadek</cp:lastModifiedBy>
  <dcterms:created xsi:type="dcterms:W3CDTF">2026-07-08T08:36:00Z</dcterms:created>
  <dcterms:modified xsi:type="dcterms:W3CDTF">2026-07-08T08:36:19Z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0x010100ACE3D2A8E3060445845CB33F649944D9</vt:lpwstr>
  </property>
</Properties>
</file>