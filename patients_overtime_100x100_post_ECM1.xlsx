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"/>
    </mc:Choice>
  </mc:AlternateContent>
  <xr:revisionPtr revIDLastSave="123" documentId="8_{E70C0E62-E2AE-4144-9E7A-DA17AFA9C455}" xr6:coauthVersionLast="47" xr6:coauthVersionMax="47" xr10:uidLastSave="{8BE35042-06D7-44FF-9876-1F7FAD4C43B4}"/>
  <bookViews>
    <workbookView xWindow="-10275" yWindow="-15255" windowWidth="21900" windowHeight="15915" activeTab="1" xr2:uid="{47EB86FA-01F0-49CD-AD22-F349AA4DF3BF}"/>
  </bookViews>
  <sheets>
    <sheet name="Proportion_patients by severity" sheetId="3" r:id="rId1"/>
    <sheet name="patient_time_ by severity" sheetId="1" r:id="rId2"/>
    <sheet name="Sheet1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" i="1" l="1"/>
  <c r="AJ8" i="1"/>
  <c r="AJ7" i="1"/>
  <c r="AJ6" i="1"/>
  <c r="AJ5" i="1"/>
  <c r="AJ4" i="1"/>
  <c r="AJ3" i="1"/>
  <c r="M18" i="3"/>
  <c r="L18" i="3"/>
  <c r="K18" i="3"/>
  <c r="J18" i="3"/>
  <c r="H18" i="3"/>
  <c r="G18" i="3"/>
  <c r="E18" i="3"/>
  <c r="K17" i="3"/>
  <c r="J17" i="3"/>
  <c r="I17" i="3"/>
  <c r="H17" i="3"/>
  <c r="I16" i="3"/>
  <c r="H16" i="3"/>
  <c r="G16" i="3"/>
  <c r="F16" i="3"/>
  <c r="M15" i="3"/>
  <c r="K15" i="3"/>
  <c r="J15" i="3"/>
  <c r="I15" i="3"/>
  <c r="H15" i="3"/>
  <c r="G15" i="3"/>
  <c r="F15" i="3"/>
  <c r="E15" i="3"/>
  <c r="D15" i="3"/>
  <c r="E14" i="3"/>
  <c r="D14" i="3"/>
  <c r="Y20" i="3"/>
  <c r="M20" i="3" s="1"/>
  <c r="Y19" i="3"/>
  <c r="K19" i="3" s="1"/>
  <c r="Y18" i="3"/>
  <c r="I18" i="3" s="1"/>
  <c r="Y17" i="3"/>
  <c r="G17" i="3" s="1"/>
  <c r="Y16" i="3"/>
  <c r="E16" i="3" s="1"/>
  <c r="Y15" i="3"/>
  <c r="L15" i="3" s="1"/>
  <c r="Y14" i="3"/>
  <c r="M14" i="3" s="1"/>
  <c r="D5" i="3"/>
  <c r="E5" i="3"/>
  <c r="F5" i="3"/>
  <c r="G5" i="3"/>
  <c r="H5" i="3"/>
  <c r="I5" i="3"/>
  <c r="J5" i="3"/>
  <c r="K5" i="3"/>
  <c r="L5" i="3"/>
  <c r="M5" i="3"/>
  <c r="I6" i="3"/>
  <c r="J6" i="3"/>
  <c r="K6" i="3"/>
  <c r="L6" i="3"/>
  <c r="D7" i="3"/>
  <c r="E7" i="3"/>
  <c r="G7" i="3"/>
  <c r="I7" i="3"/>
  <c r="J7" i="3"/>
  <c r="K7" i="3"/>
  <c r="L7" i="3"/>
  <c r="M7" i="3"/>
  <c r="D8" i="3"/>
  <c r="G8" i="3"/>
  <c r="I8" i="3"/>
  <c r="M8" i="3"/>
  <c r="E9" i="3"/>
  <c r="F10" i="3"/>
  <c r="G10" i="3"/>
  <c r="J4" i="3"/>
  <c r="Y5" i="3"/>
  <c r="Y6" i="3"/>
  <c r="M6" i="3" s="1"/>
  <c r="Y7" i="3"/>
  <c r="F7" i="3" s="1"/>
  <c r="Y8" i="3"/>
  <c r="E8" i="3" s="1"/>
  <c r="Y9" i="3"/>
  <c r="G9" i="3" s="1"/>
  <c r="Y10" i="3"/>
  <c r="I10" i="3" s="1"/>
  <c r="Y4" i="3"/>
  <c r="L4" i="3" s="1"/>
  <c r="K17" i="1"/>
  <c r="J17" i="1"/>
  <c r="I17" i="1"/>
  <c r="H17" i="1"/>
  <c r="G17" i="1"/>
  <c r="F17" i="1"/>
  <c r="E17" i="1"/>
  <c r="D17" i="1"/>
  <c r="C17" i="1"/>
  <c r="B17" i="1"/>
  <c r="L17" i="1" s="1"/>
  <c r="K16" i="1"/>
  <c r="J16" i="1"/>
  <c r="I16" i="1"/>
  <c r="H16" i="1"/>
  <c r="G16" i="1"/>
  <c r="F16" i="1"/>
  <c r="E16" i="1"/>
  <c r="D16" i="1"/>
  <c r="C16" i="1"/>
  <c r="B16" i="1"/>
  <c r="L16" i="1" s="1"/>
  <c r="K15" i="1"/>
  <c r="J15" i="1"/>
  <c r="I15" i="1"/>
  <c r="H15" i="1"/>
  <c r="G15" i="1"/>
  <c r="F15" i="1"/>
  <c r="E15" i="1"/>
  <c r="D15" i="1"/>
  <c r="C15" i="1"/>
  <c r="B15" i="1"/>
  <c r="L15" i="1" s="1"/>
  <c r="K14" i="1"/>
  <c r="J14" i="1"/>
  <c r="I14" i="1"/>
  <c r="H14" i="1"/>
  <c r="G14" i="1"/>
  <c r="F14" i="1"/>
  <c r="L14" i="1" s="1"/>
  <c r="E14" i="1"/>
  <c r="D14" i="1"/>
  <c r="C14" i="1"/>
  <c r="B14" i="1"/>
  <c r="K13" i="1"/>
  <c r="J13" i="1"/>
  <c r="I13" i="1"/>
  <c r="H13" i="1"/>
  <c r="G13" i="1"/>
  <c r="F13" i="1"/>
  <c r="E13" i="1"/>
  <c r="D13" i="1"/>
  <c r="L13" i="1" s="1"/>
  <c r="C13" i="1"/>
  <c r="B13" i="1"/>
  <c r="K12" i="1"/>
  <c r="J12" i="1"/>
  <c r="I12" i="1"/>
  <c r="H12" i="1"/>
  <c r="G12" i="1"/>
  <c r="F12" i="1"/>
  <c r="E12" i="1"/>
  <c r="D12" i="1"/>
  <c r="C12" i="1"/>
  <c r="B12" i="1"/>
  <c r="L12" i="1" s="1"/>
  <c r="K11" i="1"/>
  <c r="J11" i="1"/>
  <c r="I11" i="1"/>
  <c r="H11" i="1"/>
  <c r="G11" i="1"/>
  <c r="F11" i="1"/>
  <c r="E11" i="1"/>
  <c r="D11" i="1"/>
  <c r="C11" i="1"/>
  <c r="B11" i="1"/>
  <c r="L11" i="1" s="1"/>
  <c r="D5" i="1"/>
  <c r="E5" i="1"/>
  <c r="F5" i="1"/>
  <c r="G5" i="1"/>
  <c r="H5" i="1"/>
  <c r="I5" i="1"/>
  <c r="J5" i="1"/>
  <c r="K5" i="1"/>
  <c r="C6" i="1"/>
  <c r="D6" i="1"/>
  <c r="E6" i="1"/>
  <c r="F6" i="1"/>
  <c r="G6" i="1"/>
  <c r="H6" i="1"/>
  <c r="I6" i="1"/>
  <c r="J6" i="1"/>
  <c r="K6" i="1"/>
  <c r="B8" i="1"/>
  <c r="C8" i="1"/>
  <c r="E8" i="1"/>
  <c r="D9" i="1"/>
  <c r="C3" i="1"/>
  <c r="D3" i="1"/>
  <c r="E3" i="1"/>
  <c r="F3" i="1"/>
  <c r="G3" i="1"/>
  <c r="H3" i="1"/>
  <c r="I3" i="1"/>
  <c r="J3" i="1"/>
  <c r="X17" i="1"/>
  <c r="X16" i="1"/>
  <c r="X15" i="1"/>
  <c r="X14" i="1"/>
  <c r="X13" i="1"/>
  <c r="X12" i="1"/>
  <c r="X11" i="1"/>
  <c r="X9" i="1"/>
  <c r="B9" i="1" s="1"/>
  <c r="X8" i="1"/>
  <c r="J8" i="1" s="1"/>
  <c r="X7" i="1"/>
  <c r="H7" i="1" s="1"/>
  <c r="X6" i="1"/>
  <c r="B6" i="1" s="1"/>
  <c r="X5" i="1"/>
  <c r="B5" i="1" s="1"/>
  <c r="X4" i="1"/>
  <c r="K4" i="1" s="1"/>
  <c r="X3" i="1"/>
  <c r="K3" i="1" s="1"/>
  <c r="L4" i="2"/>
  <c r="L5" i="2"/>
  <c r="L6" i="2"/>
  <c r="L7" i="2"/>
  <c r="L8" i="2"/>
  <c r="L9" i="2"/>
  <c r="L11" i="2"/>
  <c r="L12" i="2"/>
  <c r="L13" i="2"/>
  <c r="L14" i="2"/>
  <c r="L15" i="2"/>
  <c r="L16" i="2"/>
  <c r="L17" i="2"/>
  <c r="L3" i="2"/>
  <c r="L6" i="1" l="1"/>
  <c r="K9" i="1"/>
  <c r="I8" i="1"/>
  <c r="G7" i="1"/>
  <c r="J9" i="1"/>
  <c r="H8" i="1"/>
  <c r="F7" i="1"/>
  <c r="B3" i="1"/>
  <c r="L3" i="1" s="1"/>
  <c r="I9" i="1"/>
  <c r="G8" i="1"/>
  <c r="E7" i="1"/>
  <c r="H9" i="1"/>
  <c r="F8" i="1"/>
  <c r="D7" i="1"/>
  <c r="J4" i="1"/>
  <c r="I4" i="1"/>
  <c r="C9" i="1"/>
  <c r="L9" i="1" s="1"/>
  <c r="K7" i="1"/>
  <c r="G9" i="1"/>
  <c r="C7" i="1"/>
  <c r="F9" i="1"/>
  <c r="D8" i="1"/>
  <c r="L8" i="1" s="1"/>
  <c r="B7" i="1"/>
  <c r="H4" i="1"/>
  <c r="E9" i="1"/>
  <c r="G4" i="1"/>
  <c r="F4" i="1"/>
  <c r="E4" i="1"/>
  <c r="D4" i="1"/>
  <c r="C4" i="1"/>
  <c r="B4" i="1"/>
  <c r="L4" i="1" s="1"/>
  <c r="J7" i="1"/>
  <c r="K8" i="1"/>
  <c r="I7" i="1"/>
  <c r="L7" i="1" s="1"/>
  <c r="C5" i="1"/>
  <c r="L5" i="1" s="1"/>
  <c r="K4" i="3"/>
  <c r="H10" i="3"/>
  <c r="F9" i="3"/>
  <c r="L19" i="3"/>
  <c r="M19" i="3"/>
  <c r="D20" i="3"/>
  <c r="E20" i="3"/>
  <c r="G4" i="3"/>
  <c r="D10" i="3"/>
  <c r="L8" i="3"/>
  <c r="H6" i="3"/>
  <c r="F14" i="3"/>
  <c r="J16" i="3"/>
  <c r="L17" i="3"/>
  <c r="D19" i="3"/>
  <c r="F20" i="3"/>
  <c r="G20" i="3"/>
  <c r="F4" i="3"/>
  <c r="M9" i="3"/>
  <c r="K8" i="3"/>
  <c r="G6" i="3"/>
  <c r="G14" i="3"/>
  <c r="K16" i="3"/>
  <c r="M17" i="3"/>
  <c r="E19" i="3"/>
  <c r="E4" i="3"/>
  <c r="L9" i="3"/>
  <c r="J8" i="3"/>
  <c r="H7" i="3"/>
  <c r="F6" i="3"/>
  <c r="H14" i="3"/>
  <c r="L16" i="3"/>
  <c r="D18" i="3"/>
  <c r="F19" i="3"/>
  <c r="H20" i="3"/>
  <c r="I20" i="3"/>
  <c r="M10" i="3"/>
  <c r="K9" i="3"/>
  <c r="E6" i="3"/>
  <c r="I14" i="3"/>
  <c r="M16" i="3"/>
  <c r="G19" i="3"/>
  <c r="L10" i="3"/>
  <c r="J9" i="3"/>
  <c r="H8" i="3"/>
  <c r="D6" i="3"/>
  <c r="J14" i="3"/>
  <c r="D17" i="3"/>
  <c r="F18" i="3"/>
  <c r="H19" i="3"/>
  <c r="J20" i="3"/>
  <c r="D9" i="3"/>
  <c r="H4" i="3"/>
  <c r="D4" i="3"/>
  <c r="K10" i="3"/>
  <c r="I9" i="3"/>
  <c r="K14" i="3"/>
  <c r="E17" i="3"/>
  <c r="I19" i="3"/>
  <c r="K20" i="3"/>
  <c r="E10" i="3"/>
  <c r="L20" i="3"/>
  <c r="I4" i="3"/>
  <c r="M4" i="3"/>
  <c r="J10" i="3"/>
  <c r="H9" i="3"/>
  <c r="F8" i="3"/>
  <c r="L14" i="3"/>
  <c r="D16" i="3"/>
  <c r="F17" i="3"/>
  <c r="J19" i="3"/>
</calcChain>
</file>

<file path=xl/sharedStrings.xml><?xml version="1.0" encoding="utf-8"?>
<sst xmlns="http://schemas.openxmlformats.org/spreadsheetml/2006/main" count="130" uniqueCount="45">
  <si>
    <t>Jick (edss0-3) Harding (4-9)</t>
  </si>
  <si>
    <t>Edss 0</t>
  </si>
  <si>
    <t>Edss 1</t>
  </si>
  <si>
    <t>Edss 2</t>
  </si>
  <si>
    <t>Edss 3</t>
  </si>
  <si>
    <t>Edss 4</t>
  </si>
  <si>
    <t>Edss 5</t>
  </si>
  <si>
    <t>Edss 6</t>
  </si>
  <si>
    <t>Edss 7</t>
  </si>
  <si>
    <t>Edss 8</t>
  </si>
  <si>
    <t>Edss 9</t>
  </si>
  <si>
    <t>Natalizumab-IV</t>
  </si>
  <si>
    <t>Natalizumab-SC</t>
  </si>
  <si>
    <t>Natalizumab biosimilar-IV</t>
  </si>
  <si>
    <t>Natalizumab biosimilar-SC</t>
  </si>
  <si>
    <t>Cladribine</t>
  </si>
  <si>
    <t>Ofatumumab</t>
  </si>
  <si>
    <t>Ocrelizumab</t>
  </si>
  <si>
    <t>Jick (edss 0-9)</t>
  </si>
  <si>
    <t>trt_yrs_edss_0</t>
  </si>
  <si>
    <t>trt_yrs_edss_1</t>
  </si>
  <si>
    <t>trt_yrs_edss_2</t>
  </si>
  <si>
    <t>trt_yrs_edss_3</t>
  </si>
  <si>
    <t>trt_yrs_edss_4</t>
  </si>
  <si>
    <t>trt_yrs_edss_5</t>
  </si>
  <si>
    <t>trt_yrs_edss_6</t>
  </si>
  <si>
    <t>trt_yrs_edss_7</t>
  </si>
  <si>
    <t>trt_yrs_edss_8</t>
  </si>
  <si>
    <t>trt_yrs_edss_9</t>
  </si>
  <si>
    <t>proportion of time spent by ("dead") patients in severity states</t>
  </si>
  <si>
    <t>edss 0</t>
  </si>
  <si>
    <t>edss 1</t>
  </si>
  <si>
    <t>edss 2</t>
  </si>
  <si>
    <t>edss 3</t>
  </si>
  <si>
    <t>edss 4</t>
  </si>
  <si>
    <t>edss 5</t>
  </si>
  <si>
    <t>edss 6</t>
  </si>
  <si>
    <t>edss 7</t>
  </si>
  <si>
    <t>edss 8</t>
  </si>
  <si>
    <t>edss 9</t>
  </si>
  <si>
    <t>Jick</t>
  </si>
  <si>
    <t>Jick / Harding new calculation</t>
  </si>
  <si>
    <t>distribution of patients by final edss state</t>
  </si>
  <si>
    <t>Harding but not centred on Jick</t>
  </si>
  <si>
    <t>Harding  centred on Jick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</si>
</sst>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16" fillId="0" borderId="11" xfId="0" applyFont="1" applyBorder="1"/>
    <xf numFmtId="2" fontId="0" fillId="0" borderId="0" xfId="0" applyNumberFormat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proportion of time spent by ("dead") patients in severity states Jick / </a:t>
            </a:r>
            <a:r>
              <a:rPr lang="en-GB" baseline="0"/>
              <a:t>Harding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'patient_time_ by severity'!$A$3</c:f>
              <c:strCache>
                <c:ptCount val="1"/>
                <c:pt idx="0">
                  <c:v>Natalizumab-IV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severity'!$B$3:$K$3</c:f>
              <c:numCache>
                <c:formatCode>General</c:formatCode>
                <c:ptCount val="10"/>
                <c:pt idx="0">
                  <c:v>4.3369671403860457E-2</c:v>
                </c:pt>
                <c:pt idx="1">
                  <c:v>8.1541076758074482E-2</c:v>
                </c:pt>
                <c:pt idx="2">
                  <c:v>0.1516519432253747</c:v>
                </c:pt>
                <c:pt idx="3">
                  <c:v>0.19037902529524056</c:v>
                </c:pt>
                <c:pt idx="4">
                  <c:v>0.20793064198585712</c:v>
                </c:pt>
                <c:pt idx="5">
                  <c:v>0.18559004800927323</c:v>
                </c:pt>
                <c:pt idx="6">
                  <c:v>0.13413318913622144</c:v>
                </c:pt>
                <c:pt idx="7">
                  <c:v>5.2878913263644696E-3</c:v>
                </c:pt>
                <c:pt idx="8">
                  <c:v>1.1352535050951969E-4</c:v>
                </c:pt>
                <c:pt idx="9">
                  <c:v>2.9875092239347287E-6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2-466F-B1CD-2780433D67B4}"/>
            </c:ext>
          </c:extLst>
        </c:ser>
        <c:ser>
          <c:idx val="1"/>
          <c:order val="1"/>
          <c:tx>
            <c:strRef>
              <c:f>'patient_time_ by severity'!$A$4</c:f>
              <c:strCache>
                <c:ptCount val="1"/>
                <c:pt idx="0">
                  <c:v>Natalizumab-SC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severity'!$B$4:$K$4</c:f>
              <c:numCache>
                <c:formatCode>General</c:formatCode>
                <c:ptCount val="10"/>
                <c:pt idx="0">
                  <c:v>4.3884554537634665E-2</c:v>
                </c:pt>
                <c:pt idx="1">
                  <c:v>7.6328025841689559E-2</c:v>
                </c:pt>
                <c:pt idx="2">
                  <c:v>0.15138081001906845</c:v>
                </c:pt>
                <c:pt idx="3">
                  <c:v>0.18856433052820268</c:v>
                </c:pt>
                <c:pt idx="4">
                  <c:v>0.21869492249297712</c:v>
                </c:pt>
                <c:pt idx="5">
                  <c:v>0.18241670325968612</c:v>
                </c:pt>
                <c:pt idx="6">
                  <c:v>0.13312440223046984</c:v>
                </c:pt>
                <c:pt idx="7">
                  <c:v>5.494968209187755E-3</c:v>
                </c:pt>
                <c:pt idx="8">
                  <c:v>1.0827523564901979E-4</c:v>
                </c:pt>
                <c:pt idx="9">
                  <c:v>3.0076454346949944E-6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2-466F-B1CD-2780433D67B4}"/>
            </c:ext>
          </c:extLst>
        </c:ser>
        <c:ser>
          <c:idx val="2"/>
          <c:order val="2"/>
          <c:tx>
            <c:strRef>
              <c:f>'patient_time_ by severity'!$A$5</c:f>
              <c:strCache>
                <c:ptCount val="1"/>
                <c:pt idx="0">
                  <c:v>Natalizumab biosimilar-IV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severity'!$B$5:$K$5</c:f>
              <c:numCache>
                <c:formatCode>General</c:formatCode>
                <c:ptCount val="10"/>
                <c:pt idx="0">
                  <c:v>4.5612476971729994E-2</c:v>
                </c:pt>
                <c:pt idx="1">
                  <c:v>8.2103658719538189E-2</c:v>
                </c:pt>
                <c:pt idx="2">
                  <c:v>0.15444393103820744</c:v>
                </c:pt>
                <c:pt idx="3">
                  <c:v>0.18982795556969093</c:v>
                </c:pt>
                <c:pt idx="4">
                  <c:v>0.21014384042534043</c:v>
                </c:pt>
                <c:pt idx="5">
                  <c:v>0.17906842771673581</c:v>
                </c:pt>
                <c:pt idx="6">
                  <c:v>0.13321291623410528</c:v>
                </c:pt>
                <c:pt idx="7">
                  <c:v>5.4427728737480733E-3</c:v>
                </c:pt>
                <c:pt idx="8">
                  <c:v>1.4402045090402838E-4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2-466F-B1CD-2780433D67B4}"/>
            </c:ext>
          </c:extLst>
        </c:ser>
        <c:ser>
          <c:idx val="3"/>
          <c:order val="3"/>
          <c:tx>
            <c:strRef>
              <c:f>'patient_time_ by severity'!$A$6</c:f>
              <c:strCache>
                <c:ptCount val="1"/>
                <c:pt idx="0">
                  <c:v>Natalizumab biosimilar-SC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severity'!$B$6:$K$6</c:f>
              <c:numCache>
                <c:formatCode>General</c:formatCode>
                <c:ptCount val="10"/>
                <c:pt idx="0">
                  <c:v>4.5036831300567563E-2</c:v>
                </c:pt>
                <c:pt idx="1">
                  <c:v>7.9286921869339444E-2</c:v>
                </c:pt>
                <c:pt idx="2">
                  <c:v>0.15322424827919331</c:v>
                </c:pt>
                <c:pt idx="3">
                  <c:v>0.18248098055790363</c:v>
                </c:pt>
                <c:pt idx="4">
                  <c:v>0.20921688201907981</c:v>
                </c:pt>
                <c:pt idx="5">
                  <c:v>0.18896570462504525</c:v>
                </c:pt>
                <c:pt idx="6">
                  <c:v>0.13634524815843496</c:v>
                </c:pt>
                <c:pt idx="7">
                  <c:v>5.3163869097935029E-3</c:v>
                </c:pt>
                <c:pt idx="8">
                  <c:v>1.2377732157951938E-4</c:v>
                </c:pt>
                <c:pt idx="9">
                  <c:v>3.0189590629151066E-6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B2-466F-B1CD-2780433D67B4}"/>
            </c:ext>
          </c:extLst>
        </c:ser>
        <c:ser>
          <c:idx val="4"/>
          <c:order val="4"/>
          <c:tx>
            <c:strRef>
              <c:f>'patient_time_ by severity'!$A$7</c:f>
              <c:strCache>
                <c:ptCount val="1"/>
                <c:pt idx="0">
                  <c:v>Cladribine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severity'!$B$7:$K$7</c:f>
              <c:numCache>
                <c:formatCode>General</c:formatCode>
                <c:ptCount val="10"/>
                <c:pt idx="0">
                  <c:v>4.5519094341474484E-2</c:v>
                </c:pt>
                <c:pt idx="1">
                  <c:v>7.2058864123617117E-2</c:v>
                </c:pt>
                <c:pt idx="2">
                  <c:v>0.14556847493704742</c:v>
                </c:pt>
                <c:pt idx="3">
                  <c:v>0.18622925478240329</c:v>
                </c:pt>
                <c:pt idx="4">
                  <c:v>0.21403881130784966</c:v>
                </c:pt>
                <c:pt idx="5">
                  <c:v>0.1848766558601885</c:v>
                </c:pt>
                <c:pt idx="6">
                  <c:v>0.1450439978039437</c:v>
                </c:pt>
                <c:pt idx="7">
                  <c:v>6.5176251920782474E-3</c:v>
                </c:pt>
                <c:pt idx="8">
                  <c:v>1.3802029818518641E-4</c:v>
                </c:pt>
                <c:pt idx="9">
                  <c:v>9.2013532123457603E-6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B2-466F-B1CD-2780433D67B4}"/>
            </c:ext>
          </c:extLst>
        </c:ser>
        <c:ser>
          <c:idx val="5"/>
          <c:order val="5"/>
          <c:tx>
            <c:strRef>
              <c:f>'patient_time_ by severity'!$A$8</c:f>
              <c:strCache>
                <c:ptCount val="1"/>
                <c:pt idx="0">
                  <c:v>Ofatumumab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severity'!$B$8:$K$8</c:f>
              <c:numCache>
                <c:formatCode>General</c:formatCode>
                <c:ptCount val="10"/>
                <c:pt idx="0">
                  <c:v>4.8803747145869755E-2</c:v>
                </c:pt>
                <c:pt idx="1">
                  <c:v>8.4879351890569874E-2</c:v>
                </c:pt>
                <c:pt idx="2">
                  <c:v>0.15973202010751689</c:v>
                </c:pt>
                <c:pt idx="3">
                  <c:v>0.18550718533872024</c:v>
                </c:pt>
                <c:pt idx="4">
                  <c:v>0.20311780826862971</c:v>
                </c:pt>
                <c:pt idx="5">
                  <c:v>0.17794430422396237</c:v>
                </c:pt>
                <c:pt idx="6">
                  <c:v>0.13442314229587893</c:v>
                </c:pt>
                <c:pt idx="7">
                  <c:v>5.4901583271412379E-3</c:v>
                </c:pt>
                <c:pt idx="8">
                  <c:v>1.0228240171112443E-4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B2-466F-B1CD-2780433D67B4}"/>
            </c:ext>
          </c:extLst>
        </c:ser>
        <c:ser>
          <c:idx val="6"/>
          <c:order val="6"/>
          <c:tx>
            <c:strRef>
              <c:f>'patient_time_ by severity'!$A$9</c:f>
              <c:strCache>
                <c:ptCount val="1"/>
                <c:pt idx="0">
                  <c:v>Ocrelizumab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severity'!$B$9:$K$9</c:f>
              <c:numCache>
                <c:formatCode>General</c:formatCode>
                <c:ptCount val="10"/>
                <c:pt idx="0">
                  <c:v>4.5605029311756376E-2</c:v>
                </c:pt>
                <c:pt idx="1">
                  <c:v>7.4701653529661363E-2</c:v>
                </c:pt>
                <c:pt idx="2">
                  <c:v>0.1507897142925439</c:v>
                </c:pt>
                <c:pt idx="3">
                  <c:v>0.1922325339580134</c:v>
                </c:pt>
                <c:pt idx="4">
                  <c:v>0.21219799329504779</c:v>
                </c:pt>
                <c:pt idx="5">
                  <c:v>0.1832089351555824</c:v>
                </c:pt>
                <c:pt idx="6">
                  <c:v>0.13580516197658646</c:v>
                </c:pt>
                <c:pt idx="7">
                  <c:v>5.3514124023688447E-3</c:v>
                </c:pt>
                <c:pt idx="8">
                  <c:v>1.0159018519293172E-4</c:v>
                </c:pt>
                <c:pt idx="9">
                  <c:v>5.9758932466430429E-6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B2-466F-B1CD-2780433D6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9599"/>
        <c:axId val="7001999"/>
      </c:lineChart>
      <c:catAx>
        <c:axId val="699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1999"/>
        <c:crosses val="autoZero"/>
        <c:auto val="1"/>
        <c:lblAlgn val="ctr"/>
        <c:lblOffset val="100"/>
        <c:noMultiLvlLbl val="0"/>
      </c:catAx>
      <c:valAx>
        <c:axId val="700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proportion of time spent by ("dead") patients in severity states</a:t>
            </a:r>
            <a:r>
              <a:rPr lang="en-GB" baseline="0"/>
              <a:t>Jick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'patient_time_ by severity'!$A$11</c:f>
              <c:strCache>
                <c:ptCount val="1"/>
                <c:pt idx="0">
                  <c:v>Natalizumab-IV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severity'!$B$11:$K$11</c:f>
              <c:numCache>
                <c:formatCode>General</c:formatCode>
                <c:ptCount val="10"/>
                <c:pt idx="0">
                  <c:v>3.9467507209442698E-2</c:v>
                </c:pt>
                <c:pt idx="1">
                  <c:v>7.0582679453647199E-2</c:v>
                </c:pt>
                <c:pt idx="2">
                  <c:v>0.14286153399056625</c:v>
                </c:pt>
                <c:pt idx="3">
                  <c:v>0.18743433259562292</c:v>
                </c:pt>
                <c:pt idx="4">
                  <c:v>0.21587251022734893</c:v>
                </c:pt>
                <c:pt idx="5">
                  <c:v>0.19193045402722822</c:v>
                </c:pt>
                <c:pt idx="6">
                  <c:v>0.14620638007734782</c:v>
                </c:pt>
                <c:pt idx="7">
                  <c:v>5.5216506829410053E-3</c:v>
                </c:pt>
                <c:pt idx="8">
                  <c:v>1.2295173585496168E-4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C-4A60-9B6C-3CCE9AC786DD}"/>
            </c:ext>
          </c:extLst>
        </c:ser>
        <c:ser>
          <c:idx val="1"/>
          <c:order val="1"/>
          <c:tx>
            <c:strRef>
              <c:f>'patient_time_ by severity'!$A$12</c:f>
              <c:strCache>
                <c:ptCount val="1"/>
                <c:pt idx="0">
                  <c:v>Natalizumab-SC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severity'!$B$12:$K$12</c:f>
              <c:numCache>
                <c:formatCode>General</c:formatCode>
                <c:ptCount val="10"/>
                <c:pt idx="0">
                  <c:v>4.0246143159640146E-2</c:v>
                </c:pt>
                <c:pt idx="1">
                  <c:v>7.2338864178719889E-2</c:v>
                </c:pt>
                <c:pt idx="2">
                  <c:v>0.14264987620018599</c:v>
                </c:pt>
                <c:pt idx="3">
                  <c:v>0.18757072274443462</c:v>
                </c:pt>
                <c:pt idx="4">
                  <c:v>0.21384037106333398</c:v>
                </c:pt>
                <c:pt idx="5">
                  <c:v>0.19464859898943501</c:v>
                </c:pt>
                <c:pt idx="6">
                  <c:v>0.14316244104103881</c:v>
                </c:pt>
                <c:pt idx="7">
                  <c:v>5.411340287036312E-3</c:v>
                </c:pt>
                <c:pt idx="8">
                  <c:v>1.2604053463593893E-4</c:v>
                </c:pt>
                <c:pt idx="9">
                  <c:v>5.6018015393750637E-6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8C-4A60-9B6C-3CCE9AC786DD}"/>
            </c:ext>
          </c:extLst>
        </c:ser>
        <c:ser>
          <c:idx val="2"/>
          <c:order val="2"/>
          <c:tx>
            <c:strRef>
              <c:f>'patient_time_ by severity'!$A$13</c:f>
              <c:strCache>
                <c:ptCount val="1"/>
                <c:pt idx="0">
                  <c:v>Natalizumab biosimilar-IV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severity'!$B$13:$K$13</c:f>
              <c:numCache>
                <c:formatCode>General</c:formatCode>
                <c:ptCount val="10"/>
                <c:pt idx="0">
                  <c:v>4.3399046607525645E-2</c:v>
                </c:pt>
                <c:pt idx="1">
                  <c:v>7.8329039647039592E-2</c:v>
                </c:pt>
                <c:pt idx="2">
                  <c:v>0.14166946287786983</c:v>
                </c:pt>
                <c:pt idx="3">
                  <c:v>0.18148288857398778</c:v>
                </c:pt>
                <c:pt idx="4">
                  <c:v>0.21248339605165736</c:v>
                </c:pt>
                <c:pt idx="5">
                  <c:v>0.19317428668883302</c:v>
                </c:pt>
                <c:pt idx="6">
                  <c:v>0.14397113755417948</c:v>
                </c:pt>
                <c:pt idx="7">
                  <c:v>5.393683428219641E-3</c:v>
                </c:pt>
                <c:pt idx="8">
                  <c:v>9.4285468668106829E-5</c:v>
                </c:pt>
                <c:pt idx="9">
                  <c:v>2.7731020196502011E-6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8C-4A60-9B6C-3CCE9AC786DD}"/>
            </c:ext>
          </c:extLst>
        </c:ser>
        <c:ser>
          <c:idx val="3"/>
          <c:order val="3"/>
          <c:tx>
            <c:strRef>
              <c:f>'patient_time_ by severity'!$A$14</c:f>
              <c:strCache>
                <c:ptCount val="1"/>
                <c:pt idx="0">
                  <c:v>Natalizumab biosimilar-SC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severity'!$B$14:$K$14</c:f>
              <c:numCache>
                <c:formatCode>General</c:formatCode>
                <c:ptCount val="10"/>
                <c:pt idx="0">
                  <c:v>4.3775626664412218E-2</c:v>
                </c:pt>
                <c:pt idx="1">
                  <c:v>7.793887644249059E-2</c:v>
                </c:pt>
                <c:pt idx="2">
                  <c:v>0.14178749066520127</c:v>
                </c:pt>
                <c:pt idx="3">
                  <c:v>0.18137549139789491</c:v>
                </c:pt>
                <c:pt idx="4">
                  <c:v>0.21157092333488325</c:v>
                </c:pt>
                <c:pt idx="5">
                  <c:v>0.19615899451888799</c:v>
                </c:pt>
                <c:pt idx="6">
                  <c:v>0.14157613673190458</c:v>
                </c:pt>
                <c:pt idx="7">
                  <c:v>5.6981020416789954E-3</c:v>
                </c:pt>
                <c:pt idx="8">
                  <c:v>1.0990404531428329E-4</c:v>
                </c:pt>
                <c:pt idx="9">
                  <c:v>8.4541573318679443E-6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8C-4A60-9B6C-3CCE9AC786DD}"/>
            </c:ext>
          </c:extLst>
        </c:ser>
        <c:ser>
          <c:idx val="4"/>
          <c:order val="4"/>
          <c:tx>
            <c:strRef>
              <c:f>'patient_time_ by severity'!$A$15</c:f>
              <c:strCache>
                <c:ptCount val="1"/>
                <c:pt idx="0">
                  <c:v>Cladribine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severity'!$B$15:$K$15</c:f>
              <c:numCache>
                <c:formatCode>General</c:formatCode>
                <c:ptCount val="10"/>
                <c:pt idx="0">
                  <c:v>4.2773294413103645E-2</c:v>
                </c:pt>
                <c:pt idx="1">
                  <c:v>6.9477741068348906E-2</c:v>
                </c:pt>
                <c:pt idx="2">
                  <c:v>0.14183459092425094</c:v>
                </c:pt>
                <c:pt idx="3">
                  <c:v>0.17931431601212075</c:v>
                </c:pt>
                <c:pt idx="4">
                  <c:v>0.205220593894579</c:v>
                </c:pt>
                <c:pt idx="5">
                  <c:v>0.20088482709668959</c:v>
                </c:pt>
                <c:pt idx="6">
                  <c:v>0.15388123818781482</c:v>
                </c:pt>
                <c:pt idx="7">
                  <c:v>6.4452128402550718E-3</c:v>
                </c:pt>
                <c:pt idx="8">
                  <c:v>1.6248435731735475E-4</c:v>
                </c:pt>
                <c:pt idx="9">
                  <c:v>5.7012055199071841E-6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8C-4A60-9B6C-3CCE9AC786DD}"/>
            </c:ext>
          </c:extLst>
        </c:ser>
        <c:ser>
          <c:idx val="5"/>
          <c:order val="5"/>
          <c:tx>
            <c:strRef>
              <c:f>'patient_time_ by severity'!$A$16</c:f>
              <c:strCache>
                <c:ptCount val="1"/>
                <c:pt idx="0">
                  <c:v>Ofatumumab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severity'!$B$16:$K$16</c:f>
              <c:numCache>
                <c:formatCode>General</c:formatCode>
                <c:ptCount val="10"/>
                <c:pt idx="0">
                  <c:v>4.1800479751657967E-2</c:v>
                </c:pt>
                <c:pt idx="1">
                  <c:v>7.5055735854381259E-2</c:v>
                </c:pt>
                <c:pt idx="2">
                  <c:v>0.14603640468463383</c:v>
                </c:pt>
                <c:pt idx="3">
                  <c:v>0.18119373500776068</c:v>
                </c:pt>
                <c:pt idx="4">
                  <c:v>0.21734443346973331</c:v>
                </c:pt>
                <c:pt idx="5">
                  <c:v>0.18988570622266121</c:v>
                </c:pt>
                <c:pt idx="6">
                  <c:v>0.14285311133060533</c:v>
                </c:pt>
                <c:pt idx="7">
                  <c:v>5.7090447297869339E-3</c:v>
                </c:pt>
                <c:pt idx="8">
                  <c:v>1.1006067447438971E-4</c:v>
                </c:pt>
                <c:pt idx="9">
                  <c:v>1.1288274305065613E-5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8C-4A60-9B6C-3CCE9AC786DD}"/>
            </c:ext>
          </c:extLst>
        </c:ser>
        <c:ser>
          <c:idx val="6"/>
          <c:order val="6"/>
          <c:tx>
            <c:strRef>
              <c:f>'patient_time_ by severity'!$A$17</c:f>
              <c:strCache>
                <c:ptCount val="1"/>
                <c:pt idx="0">
                  <c:v>Ocrelizumab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severity'!$B$17:$K$17</c:f>
              <c:numCache>
                <c:formatCode>General</c:formatCode>
                <c:ptCount val="10"/>
                <c:pt idx="0">
                  <c:v>4.3301022885172347E-2</c:v>
                </c:pt>
                <c:pt idx="1">
                  <c:v>7.604395113812018E-2</c:v>
                </c:pt>
                <c:pt idx="2">
                  <c:v>0.14724133505209291</c:v>
                </c:pt>
                <c:pt idx="3">
                  <c:v>0.18216619512385671</c:v>
                </c:pt>
                <c:pt idx="4">
                  <c:v>0.21329081077461368</c:v>
                </c:pt>
                <c:pt idx="5">
                  <c:v>0.18837716728329956</c:v>
                </c:pt>
                <c:pt idx="6">
                  <c:v>0.14400470984771119</c:v>
                </c:pt>
                <c:pt idx="7">
                  <c:v>5.4632001294650078E-3</c:v>
                </c:pt>
                <c:pt idx="8">
                  <c:v>1.088175715266268E-4</c:v>
                </c:pt>
                <c:pt idx="9">
                  <c:v>2.7901941417083798E-6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8C-4A60-9B6C-3CCE9AC78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9599"/>
        <c:axId val="7001999"/>
      </c:lineChart>
      <c:catAx>
        <c:axId val="699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1999"/>
        <c:crossesAt val="0"/>
        <c:auto val="1"/>
        <c:lblAlgn val="ctr"/>
        <c:lblOffset val="100"/>
        <c:noMultiLvlLbl val="0"/>
      </c:catAx>
      <c:valAx>
        <c:axId val="700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Natalizumab IV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'patient_time_ by severity'!$A$2</c:f>
              <c:strCache>
                <c:ptCount val="1"/>
                <c:pt idx="0">
                  <c:v>Jick (edss0-3) Harding (4-9)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severity'!$B$3:$K$3</c:f>
              <c:numCache>
                <c:formatCode>General</c:formatCode>
                <c:ptCount val="10"/>
                <c:pt idx="0">
                  <c:v>4.3369671403860457E-2</c:v>
                </c:pt>
                <c:pt idx="1">
                  <c:v>8.1541076758074482E-2</c:v>
                </c:pt>
                <c:pt idx="2">
                  <c:v>0.1516519432253747</c:v>
                </c:pt>
                <c:pt idx="3">
                  <c:v>0.19037902529524056</c:v>
                </c:pt>
                <c:pt idx="4">
                  <c:v>0.20793064198585712</c:v>
                </c:pt>
                <c:pt idx="5">
                  <c:v>0.18559004800927323</c:v>
                </c:pt>
                <c:pt idx="6">
                  <c:v>0.13413318913622144</c:v>
                </c:pt>
                <c:pt idx="7">
                  <c:v>5.2878913263644696E-3</c:v>
                </c:pt>
                <c:pt idx="8">
                  <c:v>1.1352535050951969E-4</c:v>
                </c:pt>
                <c:pt idx="9">
                  <c:v>2.9875092239347287E-6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88-4B42-816A-758C727CEA89}"/>
            </c:ext>
          </c:extLst>
        </c:ser>
        <c:ser>
          <c:idx val="1"/>
          <c:order val="1"/>
          <c:tx>
            <c:strRef>
              <c:f>'patient_time_ by severity'!$A$10</c:f>
              <c:strCache>
                <c:ptCount val="1"/>
                <c:pt idx="0">
                  <c:v>Jick (edss 0-9)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'patient_time_ by severity'!$B$11:$K$11</c:f>
              <c:numCache>
                <c:formatCode>General</c:formatCode>
                <c:ptCount val="10"/>
                <c:pt idx="0">
                  <c:v>3.9467507209442698E-2</c:v>
                </c:pt>
                <c:pt idx="1">
                  <c:v>7.0582679453647199E-2</c:v>
                </c:pt>
                <c:pt idx="2">
                  <c:v>0.14286153399056625</c:v>
                </c:pt>
                <c:pt idx="3">
                  <c:v>0.18743433259562292</c:v>
                </c:pt>
                <c:pt idx="4">
                  <c:v>0.21587251022734893</c:v>
                </c:pt>
                <c:pt idx="5">
                  <c:v>0.19193045402722822</c:v>
                </c:pt>
                <c:pt idx="6">
                  <c:v>0.14620638007734782</c:v>
                </c:pt>
                <c:pt idx="7">
                  <c:v>5.5216506829410053E-3</c:v>
                </c:pt>
                <c:pt idx="8">
                  <c:v>1.2295173585496168E-4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88-4B42-816A-758C727CE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74527"/>
        <c:axId val="354875967"/>
      </c:lineChart>
      <c:catAx>
        <c:axId val="35487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75967"/>
        <c:crosses val="autoZero"/>
        <c:auto val="1"/>
        <c:lblAlgn val="ctr"/>
        <c:lblOffset val="100"/>
        <c:noMultiLvlLbl val="0"/>
      </c:catAx>
      <c:valAx>
        <c:axId val="35487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7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Natalizumab SC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'patient_time_ by severity'!$A$2</c:f>
              <c:strCache>
                <c:ptCount val="1"/>
                <c:pt idx="0">
                  <c:v>Jick (edss0-3) Harding (4-9)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'patient_time_ by severity'!$B$2:$K$2</c:f>
              <c:strCache>
                <c:ptCount val="10"/>
                <c:pt idx="0">
                  <c:v>Edss 0</c:v>
                </c:pt>
                <c:pt idx="1">
                  <c:v>Edss 1</c:v>
                </c:pt>
                <c:pt idx="2">
                  <c:v>Edss 2</c:v>
                </c:pt>
                <c:pt idx="3">
                  <c:v>Edss 3</c:v>
                </c:pt>
                <c:pt idx="4">
                  <c:v>Edss 4</c:v>
                </c:pt>
                <c:pt idx="5">
                  <c:v>Edss 5</c:v>
                </c:pt>
                <c:pt idx="6">
                  <c:v>Edss 6</c:v>
                </c:pt>
                <c:pt idx="7">
                  <c:v>Edss 7</c:v>
                </c:pt>
                <c:pt idx="8">
                  <c:v>Edss 8</c:v>
                </c:pt>
                <c:pt idx="9">
                  <c:v>Edss 9</c:v>
                </c:pt>
              </c:strCache>
            </c:strRef>
          </c:cat>
          <c:val>
            <c:numRef>
              <c:f>'patient_time_ by severity'!$B$4:$K$4</c:f>
              <c:numCache>
                <c:formatCode>General</c:formatCode>
                <c:ptCount val="10"/>
                <c:pt idx="0">
                  <c:v>4.3884554537634665E-2</c:v>
                </c:pt>
                <c:pt idx="1">
                  <c:v>7.6328025841689559E-2</c:v>
                </c:pt>
                <c:pt idx="2">
                  <c:v>0.15138081001906845</c:v>
                </c:pt>
                <c:pt idx="3">
                  <c:v>0.18856433052820268</c:v>
                </c:pt>
                <c:pt idx="4">
                  <c:v>0.21869492249297712</c:v>
                </c:pt>
                <c:pt idx="5">
                  <c:v>0.18241670325968612</c:v>
                </c:pt>
                <c:pt idx="6">
                  <c:v>0.13312440223046984</c:v>
                </c:pt>
                <c:pt idx="7">
                  <c:v>5.494968209187755E-3</c:v>
                </c:pt>
                <c:pt idx="8">
                  <c:v>1.0827523564901979E-4</c:v>
                </c:pt>
                <c:pt idx="9">
                  <c:v>3.0076454346949944E-6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F-4EBA-8785-001740EB644B}"/>
            </c:ext>
          </c:extLst>
        </c:ser>
        <c:ser>
          <c:idx val="1"/>
          <c:order val="1"/>
          <c:tx>
            <c:strRef>
              <c:f>'patient_time_ by severity'!$A$10</c:f>
              <c:strCache>
                <c:ptCount val="1"/>
                <c:pt idx="0">
                  <c:v>Jick (edss 0-9)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'patient_time_ by severity'!$B$12:$K$12</c:f>
              <c:numCache>
                <c:formatCode>General</c:formatCode>
                <c:ptCount val="10"/>
                <c:pt idx="0">
                  <c:v>4.0246143159640146E-2</c:v>
                </c:pt>
                <c:pt idx="1">
                  <c:v>7.2338864178719889E-2</c:v>
                </c:pt>
                <c:pt idx="2">
                  <c:v>0.14264987620018599</c:v>
                </c:pt>
                <c:pt idx="3">
                  <c:v>0.18757072274443462</c:v>
                </c:pt>
                <c:pt idx="4">
                  <c:v>0.21384037106333398</c:v>
                </c:pt>
                <c:pt idx="5">
                  <c:v>0.19464859898943501</c:v>
                </c:pt>
                <c:pt idx="6">
                  <c:v>0.14316244104103881</c:v>
                </c:pt>
                <c:pt idx="7">
                  <c:v>5.411340287036312E-3</c:v>
                </c:pt>
                <c:pt idx="8">
                  <c:v>1.2604053463593893E-4</c:v>
                </c:pt>
                <c:pt idx="9">
                  <c:v>5.6018015393750637E-6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F-4EBA-8785-001740EB6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4874527"/>
        <c:axId val="354875967"/>
      </c:lineChart>
      <c:catAx>
        <c:axId val="35487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75967"/>
        <c:crosses val="autoZero"/>
        <c:auto val="1"/>
        <c:lblAlgn val="ctr"/>
        <c:lblOffset val="100"/>
        <c:noMultiLvlLbl val="0"/>
      </c:catAx>
      <c:valAx>
        <c:axId val="35487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7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Mortality as per Model</a:t>
            </a:r>
            <a:r>
              <a:rPr lang="en-GB" baseline="0"/>
              <a:t> at ECM1 Jick data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Natalizumab-IV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Sheet1!$B$11:$K$11</c:f>
              <c:numCache>
                <c:formatCode>General</c:formatCode>
                <c:ptCount val="10"/>
                <c:pt idx="0">
                  <c:v>1.5144</c:v>
                </c:pt>
                <c:pt idx="1">
                  <c:v>2.6705999999999999</c:v>
                </c:pt>
                <c:pt idx="2">
                  <c:v>5.0494000000000003</c:v>
                </c:pt>
                <c:pt idx="3">
                  <c:v>6.3109000000000002</c:v>
                </c:pt>
                <c:pt idx="4">
                  <c:v>7.1329000000000002</c:v>
                </c:pt>
                <c:pt idx="5">
                  <c:v>6.4139999999999997</c:v>
                </c:pt>
                <c:pt idx="6">
                  <c:v>4.7298</c:v>
                </c:pt>
                <c:pt idx="7">
                  <c:v>0.18859999999999999</c:v>
                </c:pt>
                <c:pt idx="8">
                  <c:v>3.5999999999999999E-3</c:v>
                </c:pt>
                <c:pt idx="9">
                  <c:v>2.0000000000000001E-4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6-4C81-A362-A325BF0F587B}"/>
            </c:ext>
          </c:extLst>
        </c:ser>
        <c:ser>
          <c:idx val="1"/>
          <c:order val="1"/>
          <c:tx>
            <c:strRef>
              <c:f>Sheet1!$A$12</c:f>
              <c:strCache>
                <c:ptCount val="1"/>
                <c:pt idx="0">
                  <c:v>Natalizumab-SC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Sheet1!$B$12:$K$12</c:f>
              <c:numCache>
                <c:formatCode>General</c:formatCode>
                <c:ptCount val="10"/>
                <c:pt idx="0">
                  <c:v>1.5052000000000001</c:v>
                </c:pt>
                <c:pt idx="1">
                  <c:v>2.6070000000000002</c:v>
                </c:pt>
                <c:pt idx="2">
                  <c:v>5.1363000000000003</c:v>
                </c:pt>
                <c:pt idx="3">
                  <c:v>6.2758000000000003</c:v>
                </c:pt>
                <c:pt idx="4">
                  <c:v>7.1611000000000002</c:v>
                </c:pt>
                <c:pt idx="5">
                  <c:v>6.2584</c:v>
                </c:pt>
                <c:pt idx="6">
                  <c:v>4.7496999999999998</c:v>
                </c:pt>
                <c:pt idx="7">
                  <c:v>0.19189999999999999</c:v>
                </c:pt>
                <c:pt idx="8">
                  <c:v>5.1000000000000004E-3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6-4C81-A362-A325BF0F587B}"/>
            </c:ext>
          </c:extLst>
        </c:ser>
        <c:ser>
          <c:idx val="2"/>
          <c:order val="2"/>
          <c:tx>
            <c:strRef>
              <c:f>Sheet1!$A$13</c:f>
              <c:strCache>
                <c:ptCount val="1"/>
                <c:pt idx="0">
                  <c:v>Natalizumab biosimilar-IV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Sheet1!$B$13:$K$13</c:f>
              <c:numCache>
                <c:formatCode>General</c:formatCode>
                <c:ptCount val="10"/>
                <c:pt idx="0">
                  <c:v>1.6033999999999999</c:v>
                </c:pt>
                <c:pt idx="1">
                  <c:v>2.7145000000000001</c:v>
                </c:pt>
                <c:pt idx="2">
                  <c:v>5.0438000000000001</c:v>
                </c:pt>
                <c:pt idx="3">
                  <c:v>6.3867000000000003</c:v>
                </c:pt>
                <c:pt idx="4">
                  <c:v>7.0800999999999998</c:v>
                </c:pt>
                <c:pt idx="5">
                  <c:v>6.3296999999999999</c:v>
                </c:pt>
                <c:pt idx="6">
                  <c:v>4.7850000000000001</c:v>
                </c:pt>
                <c:pt idx="7">
                  <c:v>0.18790000000000001</c:v>
                </c:pt>
                <c:pt idx="8">
                  <c:v>3.8999999999999998E-3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D6-4C81-A362-A325BF0F587B}"/>
            </c:ext>
          </c:extLst>
        </c:ser>
        <c:ser>
          <c:idx val="3"/>
          <c:order val="3"/>
          <c:tx>
            <c:strRef>
              <c:f>Sheet1!$A$14</c:f>
              <c:strCache>
                <c:ptCount val="1"/>
                <c:pt idx="0">
                  <c:v>Natalizumab biosimilar-SC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Sheet1!$B$14:$K$14</c:f>
              <c:numCache>
                <c:formatCode>General</c:formatCode>
                <c:ptCount val="10"/>
                <c:pt idx="0">
                  <c:v>1.5918000000000001</c:v>
                </c:pt>
                <c:pt idx="1">
                  <c:v>2.8559000000000001</c:v>
                </c:pt>
                <c:pt idx="2">
                  <c:v>5.1985999999999999</c:v>
                </c:pt>
                <c:pt idx="3">
                  <c:v>6.3201999999999998</c:v>
                </c:pt>
                <c:pt idx="4">
                  <c:v>7.0373000000000001</c:v>
                </c:pt>
                <c:pt idx="5">
                  <c:v>6.4329000000000001</c:v>
                </c:pt>
                <c:pt idx="6">
                  <c:v>4.6776</c:v>
                </c:pt>
                <c:pt idx="7">
                  <c:v>0.18010000000000001</c:v>
                </c:pt>
                <c:pt idx="8">
                  <c:v>4.4999999999999997E-3</c:v>
                </c:pt>
                <c:pt idx="9">
                  <c:v>2.0000000000000001E-4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D6-4C81-A362-A325BF0F587B}"/>
            </c:ext>
          </c:extLst>
        </c:ser>
        <c:ser>
          <c:idx val="4"/>
          <c:order val="4"/>
          <c:tx>
            <c:strRef>
              <c:f>Sheet1!$A$15</c:f>
              <c:strCache>
                <c:ptCount val="1"/>
                <c:pt idx="0">
                  <c:v>Cladribine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Sheet1!$B$15:$K$15</c:f>
              <c:numCache>
                <c:formatCode>General</c:formatCode>
                <c:ptCount val="10"/>
                <c:pt idx="0">
                  <c:v>1.4500999999999999</c:v>
                </c:pt>
                <c:pt idx="1">
                  <c:v>2.3026</c:v>
                </c:pt>
                <c:pt idx="2">
                  <c:v>4.7760999999999996</c:v>
                </c:pt>
                <c:pt idx="3">
                  <c:v>5.9001999999999999</c:v>
                </c:pt>
                <c:pt idx="4">
                  <c:v>6.9934000000000003</c:v>
                </c:pt>
                <c:pt idx="5">
                  <c:v>6.3212999999999999</c:v>
                </c:pt>
                <c:pt idx="6">
                  <c:v>4.9579000000000004</c:v>
                </c:pt>
                <c:pt idx="7">
                  <c:v>0.22170000000000001</c:v>
                </c:pt>
                <c:pt idx="8">
                  <c:v>3.7000000000000002E-3</c:v>
                </c:pt>
                <c:pt idx="9">
                  <c:v>2.0000000000000001E-4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D6-4C81-A362-A325BF0F587B}"/>
            </c:ext>
          </c:extLst>
        </c:ser>
        <c:ser>
          <c:idx val="5"/>
          <c:order val="5"/>
          <c:tx>
            <c:strRef>
              <c:f>Sheet1!$A$16</c:f>
              <c:strCache>
                <c:ptCount val="1"/>
                <c:pt idx="0">
                  <c:v>Ofatumumab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Sheet1!$B$16:$K$16</c:f>
              <c:numCache>
                <c:formatCode>General</c:formatCode>
                <c:ptCount val="10"/>
                <c:pt idx="0">
                  <c:v>1.4796</c:v>
                </c:pt>
                <c:pt idx="1">
                  <c:v>2.6331000000000002</c:v>
                </c:pt>
                <c:pt idx="2">
                  <c:v>5.1843000000000004</c:v>
                </c:pt>
                <c:pt idx="3">
                  <c:v>6.4832999999999998</c:v>
                </c:pt>
                <c:pt idx="4">
                  <c:v>7.0635000000000003</c:v>
                </c:pt>
                <c:pt idx="5">
                  <c:v>6.1928999999999998</c:v>
                </c:pt>
                <c:pt idx="6">
                  <c:v>4.8705999999999996</c:v>
                </c:pt>
                <c:pt idx="7">
                  <c:v>0.1898</c:v>
                </c:pt>
                <c:pt idx="8">
                  <c:v>4.0000000000000001E-3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6-4C81-A362-A325BF0F587B}"/>
            </c:ext>
          </c:extLst>
        </c:ser>
        <c:ser>
          <c:idx val="6"/>
          <c:order val="6"/>
          <c:tx>
            <c:strRef>
              <c:f>Sheet1!$A$17</c:f>
              <c:strCache>
                <c:ptCount val="1"/>
                <c:pt idx="0">
                  <c:v>Ocrelizumab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Sheet1!$B$17:$K$17</c:f>
              <c:numCache>
                <c:formatCode>General</c:formatCode>
                <c:ptCount val="10"/>
                <c:pt idx="0">
                  <c:v>1.5126999999999999</c:v>
                </c:pt>
                <c:pt idx="1">
                  <c:v>2.7202999999999999</c:v>
                </c:pt>
                <c:pt idx="2">
                  <c:v>5.1212</c:v>
                </c:pt>
                <c:pt idx="3">
                  <c:v>6.5175999999999998</c:v>
                </c:pt>
                <c:pt idx="4">
                  <c:v>7.1543999999999999</c:v>
                </c:pt>
                <c:pt idx="5">
                  <c:v>6.2026000000000003</c:v>
                </c:pt>
                <c:pt idx="6">
                  <c:v>4.5944000000000003</c:v>
                </c:pt>
                <c:pt idx="7">
                  <c:v>0.18179999999999999</c:v>
                </c:pt>
                <c:pt idx="8">
                  <c:v>2.7000000000000001E-3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D6-4C81-A362-A325BF0F5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255008"/>
        <c:axId val="1335257408"/>
      </c:lineChart>
      <c:catAx>
        <c:axId val="1335255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57408"/>
        <c:crosses val="autoZero"/>
        <c:auto val="1"/>
        <c:lblAlgn val="ctr"/>
        <c:lblOffset val="100"/>
        <c:noMultiLvlLbl val="0"/>
      </c:catAx>
      <c:valAx>
        <c:axId val="133525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5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Updating death (TTE fromula) triggered</a:t>
            </a:r>
            <a:r>
              <a:rPr lang="en-GB" baseline="0"/>
              <a:t> by edss increase or decrease events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Natalizumab-IV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Sheet1!$B$3:$K$3</c:f>
              <c:numCache>
                <c:formatCode>General</c:formatCode>
                <c:ptCount val="10"/>
                <c:pt idx="0">
                  <c:v>1.2388999999999999</c:v>
                </c:pt>
                <c:pt idx="1">
                  <c:v>1.9061999999999999</c:v>
                </c:pt>
                <c:pt idx="2">
                  <c:v>3.4990999999999999</c:v>
                </c:pt>
                <c:pt idx="3">
                  <c:v>4.0721999999999996</c:v>
                </c:pt>
                <c:pt idx="4">
                  <c:v>4.5778999999999996</c:v>
                </c:pt>
                <c:pt idx="5">
                  <c:v>4.3112000000000004</c:v>
                </c:pt>
                <c:pt idx="6">
                  <c:v>3.7589000000000001</c:v>
                </c:pt>
                <c:pt idx="7">
                  <c:v>0.13950000000000001</c:v>
                </c:pt>
                <c:pt idx="8">
                  <c:v>4.3E-3</c:v>
                </c:pt>
                <c:pt idx="9">
                  <c:v>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93-4307-BD14-1627D93F707D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Natalizumab-SC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Sheet1!$B$4:$K$4</c:f>
              <c:numCache>
                <c:formatCode>General</c:formatCode>
                <c:ptCount val="10"/>
                <c:pt idx="0">
                  <c:v>1.2662</c:v>
                </c:pt>
                <c:pt idx="1">
                  <c:v>1.7532000000000001</c:v>
                </c:pt>
                <c:pt idx="2">
                  <c:v>3.5354999999999999</c:v>
                </c:pt>
                <c:pt idx="3">
                  <c:v>4.2267000000000001</c:v>
                </c:pt>
                <c:pt idx="4">
                  <c:v>4.8806000000000003</c:v>
                </c:pt>
                <c:pt idx="5">
                  <c:v>4.2835999999999999</c:v>
                </c:pt>
                <c:pt idx="6">
                  <c:v>3.6977000000000002</c:v>
                </c:pt>
                <c:pt idx="7">
                  <c:v>0.13900000000000001</c:v>
                </c:pt>
                <c:pt idx="8">
                  <c:v>2.2000000000000001E-3</c:v>
                </c:pt>
                <c:pt idx="9">
                  <c:v>2.9999999999999997E-4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93-4307-BD14-1627D93F707D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Natalizumab biosimilar-IV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Sheet1!$B$5:$K$5</c:f>
              <c:numCache>
                <c:formatCode>General</c:formatCode>
                <c:ptCount val="10"/>
                <c:pt idx="0">
                  <c:v>1.1765000000000001</c:v>
                </c:pt>
                <c:pt idx="1">
                  <c:v>1.6782999999999999</c:v>
                </c:pt>
                <c:pt idx="2">
                  <c:v>3.3723000000000001</c:v>
                </c:pt>
                <c:pt idx="3">
                  <c:v>4.1970000000000001</c:v>
                </c:pt>
                <c:pt idx="4">
                  <c:v>4.6894</c:v>
                </c:pt>
                <c:pt idx="5">
                  <c:v>4.2830000000000004</c:v>
                </c:pt>
                <c:pt idx="6">
                  <c:v>3.786</c:v>
                </c:pt>
                <c:pt idx="7">
                  <c:v>0.1434</c:v>
                </c:pt>
                <c:pt idx="8">
                  <c:v>3.5999999999999999E-3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93-4307-BD14-1627D93F707D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Natalizumab biosimilar-SC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Sheet1!$B$6:$K$6</c:f>
              <c:numCache>
                <c:formatCode>General</c:formatCode>
                <c:ptCount val="10"/>
                <c:pt idx="0">
                  <c:v>1.1876</c:v>
                </c:pt>
                <c:pt idx="1">
                  <c:v>1.8371999999999999</c:v>
                </c:pt>
                <c:pt idx="2">
                  <c:v>3.6025999999999998</c:v>
                </c:pt>
                <c:pt idx="3">
                  <c:v>4.1580000000000004</c:v>
                </c:pt>
                <c:pt idx="4">
                  <c:v>4.8002000000000002</c:v>
                </c:pt>
                <c:pt idx="5">
                  <c:v>4.2026000000000003</c:v>
                </c:pt>
                <c:pt idx="6">
                  <c:v>3.6101000000000001</c:v>
                </c:pt>
                <c:pt idx="7">
                  <c:v>0.14149999999999999</c:v>
                </c:pt>
                <c:pt idx="8">
                  <c:v>3.0999999999999999E-3</c:v>
                </c:pt>
                <c:pt idx="9">
                  <c:v>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93-4307-BD14-1627D93F707D}"/>
            </c:ext>
          </c:extLst>
        </c:ser>
        <c:ser>
          <c:idx val="4"/>
          <c:order val="4"/>
          <c:tx>
            <c:strRef>
              <c:f>Sheet1!$A$7</c:f>
              <c:strCache>
                <c:ptCount val="1"/>
                <c:pt idx="0">
                  <c:v>Cladribine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Dot"/>
              <a:round/>
            </a:ln>
            <a:effectLst/>
          </c:spPr>
          <c:marker>
            <c:symbol val="none"/>
          </c:marker>
          <c:val>
            <c:numRef>
              <c:f>Sheet1!$B$7:$K$7</c:f>
              <c:numCache>
                <c:formatCode>General</c:formatCode>
                <c:ptCount val="10"/>
                <c:pt idx="0">
                  <c:v>1.1600999999999999</c:v>
                </c:pt>
                <c:pt idx="1">
                  <c:v>1.5924</c:v>
                </c:pt>
                <c:pt idx="2">
                  <c:v>3.4043999999999999</c:v>
                </c:pt>
                <c:pt idx="3">
                  <c:v>3.8523000000000001</c:v>
                </c:pt>
                <c:pt idx="4">
                  <c:v>4.4889000000000001</c:v>
                </c:pt>
                <c:pt idx="5">
                  <c:v>4.3522999999999996</c:v>
                </c:pt>
                <c:pt idx="6">
                  <c:v>3.8732000000000002</c:v>
                </c:pt>
                <c:pt idx="7">
                  <c:v>0.16070000000000001</c:v>
                </c:pt>
                <c:pt idx="8">
                  <c:v>3.0999999999999999E-3</c:v>
                </c:pt>
                <c:pt idx="9">
                  <c:v>2.0000000000000001E-4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93-4307-BD14-1627D93F707D}"/>
            </c:ext>
          </c:extLst>
        </c:ser>
        <c:ser>
          <c:idx val="5"/>
          <c:order val="5"/>
          <c:tx>
            <c:strRef>
              <c:f>Sheet1!$A$8</c:f>
              <c:strCache>
                <c:ptCount val="1"/>
                <c:pt idx="0">
                  <c:v>Ofatumumab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Sheet1!$B$8:$K$8</c:f>
              <c:numCache>
                <c:formatCode>General</c:formatCode>
                <c:ptCount val="10"/>
                <c:pt idx="0">
                  <c:v>1.2323</c:v>
                </c:pt>
                <c:pt idx="1">
                  <c:v>1.8635999999999999</c:v>
                </c:pt>
                <c:pt idx="2">
                  <c:v>3.4609000000000001</c:v>
                </c:pt>
                <c:pt idx="3">
                  <c:v>4.0994999999999999</c:v>
                </c:pt>
                <c:pt idx="4">
                  <c:v>4.6132</c:v>
                </c:pt>
                <c:pt idx="5">
                  <c:v>4.2049000000000003</c:v>
                </c:pt>
                <c:pt idx="6">
                  <c:v>3.8336000000000001</c:v>
                </c:pt>
                <c:pt idx="7">
                  <c:v>0.151</c:v>
                </c:pt>
                <c:pt idx="8">
                  <c:v>4.1000000000000003E-3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93-4307-BD14-1627D93F707D}"/>
            </c:ext>
          </c:extLst>
        </c:ser>
        <c:ser>
          <c:idx val="6"/>
          <c:order val="6"/>
          <c:tx>
            <c:strRef>
              <c:f>Sheet1!$A$9</c:f>
              <c:strCache>
                <c:ptCount val="1"/>
                <c:pt idx="0">
                  <c:v>Ocrelizumab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Sheet1!$B$9:$K$9</c:f>
              <c:numCache>
                <c:formatCode>General</c:formatCode>
                <c:ptCount val="10"/>
                <c:pt idx="0">
                  <c:v>1.2452000000000001</c:v>
                </c:pt>
                <c:pt idx="1">
                  <c:v>1.8192999999999999</c:v>
                </c:pt>
                <c:pt idx="2">
                  <c:v>3.5505</c:v>
                </c:pt>
                <c:pt idx="3">
                  <c:v>4.2382</c:v>
                </c:pt>
                <c:pt idx="4">
                  <c:v>4.5770999999999997</c:v>
                </c:pt>
                <c:pt idx="5">
                  <c:v>4.1835000000000004</c:v>
                </c:pt>
                <c:pt idx="6">
                  <c:v>3.8544999999999998</c:v>
                </c:pt>
                <c:pt idx="7">
                  <c:v>0.14580000000000001</c:v>
                </c:pt>
                <c:pt idx="8">
                  <c:v>2.8999999999999998E-3</c:v>
                </c:pt>
                <c:pt idx="9">
                  <c:v>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93-4307-BD14-1627D93F7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255008"/>
        <c:axId val="1335257408"/>
      </c:lineChart>
      <c:catAx>
        <c:axId val="1335255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57408"/>
        <c:crosses val="autoZero"/>
        <c:auto val="1"/>
        <c:lblAlgn val="ctr"/>
        <c:lblOffset val="100"/>
        <c:noMultiLvlLbl val="0"/>
      </c:catAx>
      <c:valAx>
        <c:axId val="1335257408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25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61713</xdr:colOff>
      <xdr:row>35</xdr:row>
      <xdr:rowOff>33804</xdr:rowOff>
    </xdr:from>
    <xdr:to>
      <xdr:col>17</xdr:col>
      <xdr:colOff>190024</xdr:colOff>
      <xdr:row>60</xdr:row>
      <xdr:rowOff>124291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268645-F3F0-5A98-096F-4ABC6BEA9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287655</xdr:colOff>
      <xdr:row>35</xdr:row>
      <xdr:rowOff>29037</xdr:rowOff>
    </xdr:from>
    <xdr:to>
      <xdr:col>6</xdr:col>
      <xdr:colOff>906279</xdr:colOff>
      <xdr:row>60</xdr:row>
      <xdr:rowOff>86202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E72229-AAC2-42AA-8B26-FC21CCD93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324803</xdr:colOff>
      <xdr:row>17</xdr:row>
      <xdr:rowOff>52861</xdr:rowOff>
    </xdr:from>
    <xdr:to>
      <xdr:col>5</xdr:col>
      <xdr:colOff>625286</xdr:colOff>
      <xdr:row>35</xdr:row>
      <xdr:rowOff>21906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2556B7-58A3-EB28-CA29-A3CB824CE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642937</xdr:colOff>
      <xdr:row>17</xdr:row>
      <xdr:rowOff>47625</xdr:rowOff>
    </xdr:from>
    <xdr:to>
      <xdr:col>13</xdr:col>
      <xdr:colOff>141416</xdr:colOff>
      <xdr:row>35</xdr:row>
      <xdr:rowOff>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0B9D56D-5668-40EF-9C36-B5970F75A9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379095</xdr:colOff>
      <xdr:row>18</xdr:row>
      <xdr:rowOff>19050</xdr:rowOff>
    </xdr:from>
    <xdr:to>
      <xdr:col>23</xdr:col>
      <xdr:colOff>68580</xdr:colOff>
      <xdr:row>46</xdr:row>
      <xdr:rowOff>177165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B5E235-75F8-4746-BB58-9AE806FA0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9525</xdr:rowOff>
    </xdr:from>
    <xdr:to>
      <xdr:col>11</xdr:col>
      <xdr:colOff>419100</xdr:colOff>
      <xdr:row>48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1D45E4-9CF3-B78D-84CC-611B0353B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9EC1-CC94-43CE-B2C3-DF91DE854349}">
  <dimension ref="C2:Y20"/>
  <sheetViews>
    <sheetView workbookViewId="0">
      <selection activeCell="F35" sqref="F35"/>
    </sheetView>
  </sheetViews>
  <sheetFormatPr defaultRowHeight="14.4" x14ac:dyDescent="0.3"/>
  <cols>
    <col min="3" max="3" width="19" customWidth="1"/>
  </cols>
  <sheetData>
    <row r="2" spans="3:25" x14ac:dyDescent="0.3">
      <c r="C2" t="s">
        <v>42</v>
      </c>
    </row>
    <row r="3" spans="3:25" x14ac:dyDescent="0.3">
      <c r="C3" t="s">
        <v>40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35</v>
      </c>
      <c r="U3" t="s">
        <v>36</v>
      </c>
      <c r="V3" t="s">
        <v>37</v>
      </c>
      <c r="W3" t="s">
        <v>38</v>
      </c>
      <c r="X3" t="s">
        <v>39</v>
      </c>
    </row>
    <row r="4" spans="3:25" x14ac:dyDescent="0.3">
      <c r="C4" t="s">
        <v>11</v>
      </c>
      <c r="D4" s="4">
        <f>O4/$Y4</f>
        <v>2.2499999999999999E-2</v>
      </c>
      <c r="E4" s="4">
        <f t="shared" ref="E4:M4" si="0">P4/$Y4</f>
        <v>6.1100000000000002E-2</v>
      </c>
      <c r="F4" s="4">
        <f t="shared" si="0"/>
        <v>0.1074</v>
      </c>
      <c r="G4" s="4">
        <f t="shared" si="0"/>
        <v>0.14779999999999999</v>
      </c>
      <c r="H4" s="4">
        <f t="shared" si="0"/>
        <v>0.1807</v>
      </c>
      <c r="I4" s="4">
        <f t="shared" si="0"/>
        <v>0.18970000000000001</v>
      </c>
      <c r="J4" s="4">
        <f t="shared" si="0"/>
        <v>0.15179999999999999</v>
      </c>
      <c r="K4" s="4">
        <f t="shared" si="0"/>
        <v>8.7400000000000005E-2</v>
      </c>
      <c r="L4" s="4">
        <f t="shared" si="0"/>
        <v>4.0500000000000001E-2</v>
      </c>
      <c r="M4" s="4">
        <f t="shared" si="0"/>
        <v>1.11E-2</v>
      </c>
      <c r="O4">
        <v>225</v>
      </c>
      <c r="P4">
        <v>611</v>
      </c>
      <c r="Q4">
        <v>1074</v>
      </c>
      <c r="R4">
        <v>1478</v>
      </c>
      <c r="S4">
        <v>1807</v>
      </c>
      <c r="T4">
        <v>1897</v>
      </c>
      <c r="U4">
        <v>1518</v>
      </c>
      <c r="V4">
        <v>874</v>
      </c>
      <c r="W4">
        <v>405</v>
      </c>
      <c r="X4">
        <v>111</v>
      </c>
      <c r="Y4">
        <f>SUM(O4:X4)</f>
        <v>10000</v>
      </c>
    </row>
    <row r="5" spans="3:25" x14ac:dyDescent="0.3">
      <c r="C5" t="s">
        <v>12</v>
      </c>
      <c r="D5" s="4">
        <f t="shared" ref="D5:D10" si="1">O5/$Y5</f>
        <v>2.2499999999999999E-2</v>
      </c>
      <c r="E5" s="4">
        <f t="shared" ref="E5:E10" si="2">P5/$Y5</f>
        <v>6.1100000000000002E-2</v>
      </c>
      <c r="F5" s="4">
        <f t="shared" ref="F5:F10" si="3">Q5/$Y5</f>
        <v>0.1074</v>
      </c>
      <c r="G5" s="4">
        <f t="shared" ref="G5:G10" si="4">R5/$Y5</f>
        <v>0.14779999999999999</v>
      </c>
      <c r="H5" s="4">
        <f t="shared" ref="H5:H10" si="5">S5/$Y5</f>
        <v>0.1807</v>
      </c>
      <c r="I5" s="4">
        <f t="shared" ref="I5:I10" si="6">T5/$Y5</f>
        <v>0.18970000000000001</v>
      </c>
      <c r="J5" s="4">
        <f t="shared" ref="J5:J10" si="7">U5/$Y5</f>
        <v>0.15179999999999999</v>
      </c>
      <c r="K5" s="4">
        <f t="shared" ref="K5:K10" si="8">V5/$Y5</f>
        <v>8.7400000000000005E-2</v>
      </c>
      <c r="L5" s="4">
        <f t="shared" ref="L5:L10" si="9">W5/$Y5</f>
        <v>4.0500000000000001E-2</v>
      </c>
      <c r="M5" s="4">
        <f t="shared" ref="M5:M10" si="10">X5/$Y5</f>
        <v>1.11E-2</v>
      </c>
      <c r="O5">
        <v>225</v>
      </c>
      <c r="P5">
        <v>611</v>
      </c>
      <c r="Q5">
        <v>1074</v>
      </c>
      <c r="R5">
        <v>1478</v>
      </c>
      <c r="S5">
        <v>1807</v>
      </c>
      <c r="T5">
        <v>1897</v>
      </c>
      <c r="U5">
        <v>1518</v>
      </c>
      <c r="V5">
        <v>874</v>
      </c>
      <c r="W5">
        <v>405</v>
      </c>
      <c r="X5">
        <v>111</v>
      </c>
      <c r="Y5">
        <f t="shared" ref="Y5:Y10" si="11">SUM(O5:X5)</f>
        <v>10000</v>
      </c>
    </row>
    <row r="6" spans="3:25" x14ac:dyDescent="0.3">
      <c r="C6" t="s">
        <v>13</v>
      </c>
      <c r="D6" s="4">
        <f t="shared" si="1"/>
        <v>2.2499999999999999E-2</v>
      </c>
      <c r="E6" s="4">
        <f t="shared" si="2"/>
        <v>6.1100000000000002E-2</v>
      </c>
      <c r="F6" s="4">
        <f t="shared" si="3"/>
        <v>0.1074</v>
      </c>
      <c r="G6" s="4">
        <f t="shared" si="4"/>
        <v>0.14779999999999999</v>
      </c>
      <c r="H6" s="4">
        <f t="shared" si="5"/>
        <v>0.1807</v>
      </c>
      <c r="I6" s="4">
        <f t="shared" si="6"/>
        <v>0.18970000000000001</v>
      </c>
      <c r="J6" s="4">
        <f t="shared" si="7"/>
        <v>0.15179999999999999</v>
      </c>
      <c r="K6" s="4">
        <f t="shared" si="8"/>
        <v>8.7400000000000005E-2</v>
      </c>
      <c r="L6" s="4">
        <f t="shared" si="9"/>
        <v>4.0500000000000001E-2</v>
      </c>
      <c r="M6" s="4">
        <f t="shared" si="10"/>
        <v>1.11E-2</v>
      </c>
      <c r="O6">
        <v>225</v>
      </c>
      <c r="P6">
        <v>611</v>
      </c>
      <c r="Q6">
        <v>1074</v>
      </c>
      <c r="R6">
        <v>1478</v>
      </c>
      <c r="S6">
        <v>1807</v>
      </c>
      <c r="T6">
        <v>1897</v>
      </c>
      <c r="U6">
        <v>1518</v>
      </c>
      <c r="V6">
        <v>874</v>
      </c>
      <c r="W6">
        <v>405</v>
      </c>
      <c r="X6">
        <v>111</v>
      </c>
      <c r="Y6">
        <f t="shared" si="11"/>
        <v>10000</v>
      </c>
    </row>
    <row r="7" spans="3:25" x14ac:dyDescent="0.3">
      <c r="C7" t="s">
        <v>14</v>
      </c>
      <c r="D7" s="4">
        <f t="shared" si="1"/>
        <v>2.2499999999999999E-2</v>
      </c>
      <c r="E7" s="4">
        <f t="shared" si="2"/>
        <v>6.1100000000000002E-2</v>
      </c>
      <c r="F7" s="4">
        <f t="shared" si="3"/>
        <v>0.1074</v>
      </c>
      <c r="G7" s="4">
        <f t="shared" si="4"/>
        <v>0.14779999999999999</v>
      </c>
      <c r="H7" s="4">
        <f t="shared" si="5"/>
        <v>0.1807</v>
      </c>
      <c r="I7" s="4">
        <f t="shared" si="6"/>
        <v>0.18970000000000001</v>
      </c>
      <c r="J7" s="4">
        <f t="shared" si="7"/>
        <v>0.15179999999999999</v>
      </c>
      <c r="K7" s="4">
        <f t="shared" si="8"/>
        <v>8.7400000000000005E-2</v>
      </c>
      <c r="L7" s="4">
        <f t="shared" si="9"/>
        <v>4.0500000000000001E-2</v>
      </c>
      <c r="M7" s="4">
        <f t="shared" si="10"/>
        <v>1.11E-2</v>
      </c>
      <c r="O7">
        <v>225</v>
      </c>
      <c r="P7">
        <v>611</v>
      </c>
      <c r="Q7">
        <v>1074</v>
      </c>
      <c r="R7">
        <v>1478</v>
      </c>
      <c r="S7">
        <v>1807</v>
      </c>
      <c r="T7">
        <v>1897</v>
      </c>
      <c r="U7">
        <v>1518</v>
      </c>
      <c r="V7">
        <v>874</v>
      </c>
      <c r="W7">
        <v>405</v>
      </c>
      <c r="X7">
        <v>111</v>
      </c>
      <c r="Y7">
        <f t="shared" si="11"/>
        <v>10000</v>
      </c>
    </row>
    <row r="8" spans="3:25" x14ac:dyDescent="0.3">
      <c r="C8" t="s">
        <v>15</v>
      </c>
      <c r="D8" s="4">
        <f t="shared" si="1"/>
        <v>2.2499999999999999E-2</v>
      </c>
      <c r="E8" s="4">
        <f t="shared" si="2"/>
        <v>6.1100000000000002E-2</v>
      </c>
      <c r="F8" s="4">
        <f t="shared" si="3"/>
        <v>0.1074</v>
      </c>
      <c r="G8" s="4">
        <f t="shared" si="4"/>
        <v>0.14779999999999999</v>
      </c>
      <c r="H8" s="4">
        <f t="shared" si="5"/>
        <v>0.1807</v>
      </c>
      <c r="I8" s="4">
        <f t="shared" si="6"/>
        <v>0.18970000000000001</v>
      </c>
      <c r="J8" s="4">
        <f t="shared" si="7"/>
        <v>0.15179999999999999</v>
      </c>
      <c r="K8" s="4">
        <f t="shared" si="8"/>
        <v>8.7400000000000005E-2</v>
      </c>
      <c r="L8" s="4">
        <f t="shared" si="9"/>
        <v>4.0500000000000001E-2</v>
      </c>
      <c r="M8" s="4">
        <f t="shared" si="10"/>
        <v>1.11E-2</v>
      </c>
      <c r="O8">
        <v>225</v>
      </c>
      <c r="P8">
        <v>611</v>
      </c>
      <c r="Q8">
        <v>1074</v>
      </c>
      <c r="R8">
        <v>1478</v>
      </c>
      <c r="S8">
        <v>1807</v>
      </c>
      <c r="T8">
        <v>1897</v>
      </c>
      <c r="U8">
        <v>1518</v>
      </c>
      <c r="V8">
        <v>874</v>
      </c>
      <c r="W8">
        <v>405</v>
      </c>
      <c r="X8">
        <v>111</v>
      </c>
      <c r="Y8">
        <f t="shared" si="11"/>
        <v>10000</v>
      </c>
    </row>
    <row r="9" spans="3:25" x14ac:dyDescent="0.3">
      <c r="C9" t="s">
        <v>16</v>
      </c>
      <c r="D9" s="4">
        <f t="shared" si="1"/>
        <v>2.2499999999999999E-2</v>
      </c>
      <c r="E9" s="4">
        <f t="shared" si="2"/>
        <v>6.1100000000000002E-2</v>
      </c>
      <c r="F9" s="4">
        <f t="shared" si="3"/>
        <v>0.1074</v>
      </c>
      <c r="G9" s="4">
        <f t="shared" si="4"/>
        <v>0.14779999999999999</v>
      </c>
      <c r="H9" s="4">
        <f t="shared" si="5"/>
        <v>0.1807</v>
      </c>
      <c r="I9" s="4">
        <f t="shared" si="6"/>
        <v>0.18970000000000001</v>
      </c>
      <c r="J9" s="4">
        <f t="shared" si="7"/>
        <v>0.15179999999999999</v>
      </c>
      <c r="K9" s="4">
        <f t="shared" si="8"/>
        <v>8.7400000000000005E-2</v>
      </c>
      <c r="L9" s="4">
        <f t="shared" si="9"/>
        <v>4.0500000000000001E-2</v>
      </c>
      <c r="M9" s="4">
        <f t="shared" si="10"/>
        <v>1.11E-2</v>
      </c>
      <c r="O9">
        <v>225</v>
      </c>
      <c r="P9">
        <v>611</v>
      </c>
      <c r="Q9">
        <v>1074</v>
      </c>
      <c r="R9">
        <v>1478</v>
      </c>
      <c r="S9">
        <v>1807</v>
      </c>
      <c r="T9">
        <v>1897</v>
      </c>
      <c r="U9">
        <v>1518</v>
      </c>
      <c r="V9">
        <v>874</v>
      </c>
      <c r="W9">
        <v>405</v>
      </c>
      <c r="X9">
        <v>111</v>
      </c>
      <c r="Y9">
        <f t="shared" si="11"/>
        <v>10000</v>
      </c>
    </row>
    <row r="10" spans="3:25" x14ac:dyDescent="0.3">
      <c r="C10" t="s">
        <v>17</v>
      </c>
      <c r="D10" s="4">
        <f t="shared" si="1"/>
        <v>2.2499999999999999E-2</v>
      </c>
      <c r="E10" s="4">
        <f t="shared" si="2"/>
        <v>6.1100000000000002E-2</v>
      </c>
      <c r="F10" s="4">
        <f t="shared" si="3"/>
        <v>0.1074</v>
      </c>
      <c r="G10" s="4">
        <f t="shared" si="4"/>
        <v>0.14779999999999999</v>
      </c>
      <c r="H10" s="4">
        <f t="shared" si="5"/>
        <v>0.1807</v>
      </c>
      <c r="I10" s="4">
        <f t="shared" si="6"/>
        <v>0.18970000000000001</v>
      </c>
      <c r="J10" s="4">
        <f t="shared" si="7"/>
        <v>0.15179999999999999</v>
      </c>
      <c r="K10" s="4">
        <f t="shared" si="8"/>
        <v>8.7400000000000005E-2</v>
      </c>
      <c r="L10" s="4">
        <f t="shared" si="9"/>
        <v>4.0500000000000001E-2</v>
      </c>
      <c r="M10" s="4">
        <f t="shared" si="10"/>
        <v>1.11E-2</v>
      </c>
      <c r="O10">
        <v>225</v>
      </c>
      <c r="P10">
        <v>611</v>
      </c>
      <c r="Q10">
        <v>1074</v>
      </c>
      <c r="R10">
        <v>1478</v>
      </c>
      <c r="S10">
        <v>1807</v>
      </c>
      <c r="T10">
        <v>1897</v>
      </c>
      <c r="U10">
        <v>1518</v>
      </c>
      <c r="V10">
        <v>874</v>
      </c>
      <c r="W10">
        <v>405</v>
      </c>
      <c r="X10">
        <v>111</v>
      </c>
      <c r="Y10">
        <f t="shared" si="11"/>
        <v>10000</v>
      </c>
    </row>
    <row r="13" spans="3:25" x14ac:dyDescent="0.3">
      <c r="C13" t="s">
        <v>41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 t="s">
        <v>36</v>
      </c>
      <c r="K13" t="s">
        <v>37</v>
      </c>
      <c r="L13" t="s">
        <v>38</v>
      </c>
      <c r="M13" t="s">
        <v>39</v>
      </c>
      <c r="O13" t="s">
        <v>30</v>
      </c>
      <c r="P13" t="s">
        <v>31</v>
      </c>
      <c r="Q13" t="s">
        <v>32</v>
      </c>
      <c r="R13" t="s">
        <v>33</v>
      </c>
      <c r="S13" t="s">
        <v>34</v>
      </c>
      <c r="T13" t="s">
        <v>35</v>
      </c>
      <c r="U13" t="s">
        <v>36</v>
      </c>
      <c r="V13" t="s">
        <v>37</v>
      </c>
      <c r="W13" t="s">
        <v>38</v>
      </c>
      <c r="X13" t="s">
        <v>39</v>
      </c>
    </row>
    <row r="14" spans="3:25" x14ac:dyDescent="0.3">
      <c r="C14" t="s">
        <v>11</v>
      </c>
      <c r="D14" s="4">
        <f>O14/$Y14</f>
        <v>0.02</v>
      </c>
      <c r="E14" s="4">
        <f t="shared" ref="E14:E20" si="12">P14/$Y14</f>
        <v>5.5599999999999997E-2</v>
      </c>
      <c r="F14" s="4">
        <f t="shared" ref="F14:F20" si="13">Q14/$Y14</f>
        <v>0.1007</v>
      </c>
      <c r="G14" s="4">
        <f t="shared" ref="G14:G20" si="14">R14/$Y14</f>
        <v>0.15579999999999999</v>
      </c>
      <c r="H14" s="4">
        <f t="shared" ref="H14:H20" si="15">S14/$Y14</f>
        <v>0.18790000000000001</v>
      </c>
      <c r="I14" s="4">
        <f t="shared" ref="I14:I20" si="16">T14/$Y14</f>
        <v>0.18740000000000001</v>
      </c>
      <c r="J14" s="4">
        <f t="shared" ref="J14:J20" si="17">U14/$Y14</f>
        <v>0.1595</v>
      </c>
      <c r="K14" s="4">
        <f t="shared" ref="K14:K20" si="18">V14/$Y14</f>
        <v>8.77E-2</v>
      </c>
      <c r="L14" s="4">
        <f t="shared" ref="L14:L20" si="19">W14/$Y14</f>
        <v>3.4500000000000003E-2</v>
      </c>
      <c r="M14" s="4">
        <f t="shared" ref="M14:M20" si="20">X14/$Y14</f>
        <v>1.09E-2</v>
      </c>
      <c r="O14">
        <v>200</v>
      </c>
      <c r="P14">
        <v>556</v>
      </c>
      <c r="Q14">
        <v>1007</v>
      </c>
      <c r="R14">
        <v>1558</v>
      </c>
      <c r="S14">
        <v>1879</v>
      </c>
      <c r="T14">
        <v>1874</v>
      </c>
      <c r="U14">
        <v>1595</v>
      </c>
      <c r="V14">
        <v>877</v>
      </c>
      <c r="W14">
        <v>345</v>
      </c>
      <c r="X14">
        <v>109</v>
      </c>
      <c r="Y14">
        <f>SUM(O14:X14)</f>
        <v>10000</v>
      </c>
    </row>
    <row r="15" spans="3:25" x14ac:dyDescent="0.3">
      <c r="C15" t="s">
        <v>12</v>
      </c>
      <c r="D15" s="4">
        <f t="shared" ref="D15:D20" si="21">O15/$Y15</f>
        <v>0.02</v>
      </c>
      <c r="E15" s="4">
        <f t="shared" si="12"/>
        <v>5.5599999999999997E-2</v>
      </c>
      <c r="F15" s="4">
        <f t="shared" si="13"/>
        <v>0.1007</v>
      </c>
      <c r="G15" s="4">
        <f t="shared" si="14"/>
        <v>0.15579999999999999</v>
      </c>
      <c r="H15" s="4">
        <f t="shared" si="15"/>
        <v>0.18790000000000001</v>
      </c>
      <c r="I15" s="4">
        <f t="shared" si="16"/>
        <v>0.18740000000000001</v>
      </c>
      <c r="J15" s="4">
        <f t="shared" si="17"/>
        <v>0.1595</v>
      </c>
      <c r="K15" s="4">
        <f t="shared" si="18"/>
        <v>8.77E-2</v>
      </c>
      <c r="L15" s="4">
        <f t="shared" si="19"/>
        <v>3.4500000000000003E-2</v>
      </c>
      <c r="M15" s="4">
        <f t="shared" si="20"/>
        <v>1.09E-2</v>
      </c>
      <c r="O15">
        <v>200</v>
      </c>
      <c r="P15">
        <v>556</v>
      </c>
      <c r="Q15">
        <v>1007</v>
      </c>
      <c r="R15">
        <v>1558</v>
      </c>
      <c r="S15">
        <v>1879</v>
      </c>
      <c r="T15">
        <v>1874</v>
      </c>
      <c r="U15">
        <v>1595</v>
      </c>
      <c r="V15">
        <v>877</v>
      </c>
      <c r="W15">
        <v>345</v>
      </c>
      <c r="X15">
        <v>109</v>
      </c>
      <c r="Y15">
        <f t="shared" ref="Y15:Y20" si="22">SUM(O15:X15)</f>
        <v>10000</v>
      </c>
    </row>
    <row r="16" spans="3:25" x14ac:dyDescent="0.3">
      <c r="C16" t="s">
        <v>13</v>
      </c>
      <c r="D16" s="4">
        <f t="shared" si="21"/>
        <v>0.02</v>
      </c>
      <c r="E16" s="4">
        <f t="shared" si="12"/>
        <v>5.5599999999999997E-2</v>
      </c>
      <c r="F16" s="4">
        <f t="shared" si="13"/>
        <v>0.1007</v>
      </c>
      <c r="G16" s="4">
        <f t="shared" si="14"/>
        <v>0.15579999999999999</v>
      </c>
      <c r="H16" s="4">
        <f t="shared" si="15"/>
        <v>0.18790000000000001</v>
      </c>
      <c r="I16" s="4">
        <f t="shared" si="16"/>
        <v>0.18740000000000001</v>
      </c>
      <c r="J16" s="4">
        <f t="shared" si="17"/>
        <v>0.1595</v>
      </c>
      <c r="K16" s="4">
        <f t="shared" si="18"/>
        <v>8.77E-2</v>
      </c>
      <c r="L16" s="4">
        <f t="shared" si="19"/>
        <v>3.4500000000000003E-2</v>
      </c>
      <c r="M16" s="4">
        <f t="shared" si="20"/>
        <v>1.09E-2</v>
      </c>
      <c r="O16">
        <v>200</v>
      </c>
      <c r="P16">
        <v>556</v>
      </c>
      <c r="Q16">
        <v>1007</v>
      </c>
      <c r="R16">
        <v>1558</v>
      </c>
      <c r="S16">
        <v>1879</v>
      </c>
      <c r="T16">
        <v>1874</v>
      </c>
      <c r="U16">
        <v>1595</v>
      </c>
      <c r="V16">
        <v>877</v>
      </c>
      <c r="W16">
        <v>345</v>
      </c>
      <c r="X16">
        <v>109</v>
      </c>
      <c r="Y16">
        <f t="shared" si="22"/>
        <v>10000</v>
      </c>
    </row>
    <row r="17" spans="3:25" x14ac:dyDescent="0.3">
      <c r="C17" t="s">
        <v>14</v>
      </c>
      <c r="D17" s="4">
        <f t="shared" si="21"/>
        <v>0.02</v>
      </c>
      <c r="E17" s="4">
        <f t="shared" si="12"/>
        <v>5.5599999999999997E-2</v>
      </c>
      <c r="F17" s="4">
        <f t="shared" si="13"/>
        <v>0.1007</v>
      </c>
      <c r="G17" s="4">
        <f t="shared" si="14"/>
        <v>0.15579999999999999</v>
      </c>
      <c r="H17" s="4">
        <f t="shared" si="15"/>
        <v>0.18790000000000001</v>
      </c>
      <c r="I17" s="4">
        <f t="shared" si="16"/>
        <v>0.18740000000000001</v>
      </c>
      <c r="J17" s="4">
        <f t="shared" si="17"/>
        <v>0.1595</v>
      </c>
      <c r="K17" s="4">
        <f t="shared" si="18"/>
        <v>8.77E-2</v>
      </c>
      <c r="L17" s="4">
        <f t="shared" si="19"/>
        <v>3.4500000000000003E-2</v>
      </c>
      <c r="M17" s="4">
        <f t="shared" si="20"/>
        <v>1.09E-2</v>
      </c>
      <c r="O17">
        <v>200</v>
      </c>
      <c r="P17">
        <v>556</v>
      </c>
      <c r="Q17">
        <v>1007</v>
      </c>
      <c r="R17">
        <v>1558</v>
      </c>
      <c r="S17">
        <v>1879</v>
      </c>
      <c r="T17">
        <v>1874</v>
      </c>
      <c r="U17">
        <v>1595</v>
      </c>
      <c r="V17">
        <v>877</v>
      </c>
      <c r="W17">
        <v>345</v>
      </c>
      <c r="X17">
        <v>109</v>
      </c>
      <c r="Y17">
        <f t="shared" si="22"/>
        <v>10000</v>
      </c>
    </row>
    <row r="18" spans="3:25" x14ac:dyDescent="0.3">
      <c r="C18" t="s">
        <v>15</v>
      </c>
      <c r="D18" s="4">
        <f t="shared" si="21"/>
        <v>0.02</v>
      </c>
      <c r="E18" s="4">
        <f t="shared" si="12"/>
        <v>5.5599999999999997E-2</v>
      </c>
      <c r="F18" s="4">
        <f t="shared" si="13"/>
        <v>0.1007</v>
      </c>
      <c r="G18" s="4">
        <f t="shared" si="14"/>
        <v>0.15579999999999999</v>
      </c>
      <c r="H18" s="4">
        <f t="shared" si="15"/>
        <v>0.18790000000000001</v>
      </c>
      <c r="I18" s="4">
        <f t="shared" si="16"/>
        <v>0.18740000000000001</v>
      </c>
      <c r="J18" s="4">
        <f t="shared" si="17"/>
        <v>0.1595</v>
      </c>
      <c r="K18" s="4">
        <f t="shared" si="18"/>
        <v>8.77E-2</v>
      </c>
      <c r="L18" s="4">
        <f t="shared" si="19"/>
        <v>3.4500000000000003E-2</v>
      </c>
      <c r="M18" s="4">
        <f t="shared" si="20"/>
        <v>1.09E-2</v>
      </c>
      <c r="O18">
        <v>200</v>
      </c>
      <c r="P18">
        <v>556</v>
      </c>
      <c r="Q18">
        <v>1007</v>
      </c>
      <c r="R18">
        <v>1558</v>
      </c>
      <c r="S18">
        <v>1879</v>
      </c>
      <c r="T18">
        <v>1874</v>
      </c>
      <c r="U18">
        <v>1595</v>
      </c>
      <c r="V18">
        <v>877</v>
      </c>
      <c r="W18">
        <v>345</v>
      </c>
      <c r="X18">
        <v>109</v>
      </c>
      <c r="Y18">
        <f t="shared" si="22"/>
        <v>10000</v>
      </c>
    </row>
    <row r="19" spans="3:25" x14ac:dyDescent="0.3">
      <c r="C19" t="s">
        <v>16</v>
      </c>
      <c r="D19" s="4">
        <f t="shared" si="21"/>
        <v>0.02</v>
      </c>
      <c r="E19" s="4">
        <f t="shared" si="12"/>
        <v>5.5599999999999997E-2</v>
      </c>
      <c r="F19" s="4">
        <f t="shared" si="13"/>
        <v>0.1007</v>
      </c>
      <c r="G19" s="4">
        <f t="shared" si="14"/>
        <v>0.15579999999999999</v>
      </c>
      <c r="H19" s="4">
        <f t="shared" si="15"/>
        <v>0.18790000000000001</v>
      </c>
      <c r="I19" s="4">
        <f t="shared" si="16"/>
        <v>0.18740000000000001</v>
      </c>
      <c r="J19" s="4">
        <f t="shared" si="17"/>
        <v>0.1595</v>
      </c>
      <c r="K19" s="4">
        <f t="shared" si="18"/>
        <v>8.77E-2</v>
      </c>
      <c r="L19" s="4">
        <f t="shared" si="19"/>
        <v>3.4500000000000003E-2</v>
      </c>
      <c r="M19" s="4">
        <f t="shared" si="20"/>
        <v>1.09E-2</v>
      </c>
      <c r="O19">
        <v>200</v>
      </c>
      <c r="P19">
        <v>556</v>
      </c>
      <c r="Q19">
        <v>1007</v>
      </c>
      <c r="R19">
        <v>1558</v>
      </c>
      <c r="S19">
        <v>1879</v>
      </c>
      <c r="T19">
        <v>1874</v>
      </c>
      <c r="U19">
        <v>1595</v>
      </c>
      <c r="V19">
        <v>877</v>
      </c>
      <c r="W19">
        <v>345</v>
      </c>
      <c r="X19">
        <v>109</v>
      </c>
      <c r="Y19">
        <f t="shared" si="22"/>
        <v>10000</v>
      </c>
    </row>
    <row r="20" spans="3:25" x14ac:dyDescent="0.3">
      <c r="C20" t="s">
        <v>17</v>
      </c>
      <c r="D20" s="4">
        <f t="shared" si="21"/>
        <v>0.02</v>
      </c>
      <c r="E20" s="4">
        <f t="shared" si="12"/>
        <v>5.5599999999999997E-2</v>
      </c>
      <c r="F20" s="4">
        <f t="shared" si="13"/>
        <v>0.1007</v>
      </c>
      <c r="G20" s="4">
        <f t="shared" si="14"/>
        <v>0.15579999999999999</v>
      </c>
      <c r="H20" s="4">
        <f t="shared" si="15"/>
        <v>0.18790000000000001</v>
      </c>
      <c r="I20" s="4">
        <f t="shared" si="16"/>
        <v>0.18740000000000001</v>
      </c>
      <c r="J20" s="4">
        <f t="shared" si="17"/>
        <v>0.1595</v>
      </c>
      <c r="K20" s="4">
        <f t="shared" si="18"/>
        <v>8.77E-2</v>
      </c>
      <c r="L20" s="4">
        <f t="shared" si="19"/>
        <v>3.4500000000000003E-2</v>
      </c>
      <c r="M20" s="4">
        <f t="shared" si="20"/>
        <v>1.09E-2</v>
      </c>
      <c r="O20">
        <v>200</v>
      </c>
      <c r="P20">
        <v>556</v>
      </c>
      <c r="Q20">
        <v>1007</v>
      </c>
      <c r="R20">
        <v>1558</v>
      </c>
      <c r="S20">
        <v>1879</v>
      </c>
      <c r="T20">
        <v>1874</v>
      </c>
      <c r="U20">
        <v>1595</v>
      </c>
      <c r="V20">
        <v>877</v>
      </c>
      <c r="W20">
        <v>345</v>
      </c>
      <c r="X20">
        <v>109</v>
      </c>
      <c r="Y20">
        <f t="shared" si="22"/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F2E5-E9BF-445B-9A93-EBCF9FC87E4A}">
  <dimension ref="A1:AJ17"/>
  <sheetViews>
    <sheetView tabSelected="1" zoomScale="80" zoomScaleNormal="80" workbookViewId="0">
      <selection activeCell="A2" sqref="A2:K9"/>
    </sheetView>
  </sheetViews>
  <sheetFormatPr defaultRowHeight="14.4" x14ac:dyDescent="0.3"/>
  <cols>
    <col min="1" max="1" width="32.88671875" customWidth="1"/>
    <col min="2" max="11" width="13.6640625" customWidth="1"/>
  </cols>
  <sheetData>
    <row r="1" spans="1:36" x14ac:dyDescent="0.3">
      <c r="B1" s="5" t="s">
        <v>29</v>
      </c>
      <c r="C1" s="5"/>
      <c r="D1" s="5"/>
      <c r="E1" s="5"/>
      <c r="F1" s="5"/>
      <c r="G1" s="5"/>
      <c r="H1" s="5"/>
      <c r="I1" s="5"/>
      <c r="J1" s="5"/>
      <c r="K1" s="5"/>
    </row>
    <row r="2" spans="1:36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N2" t="s">
        <v>44</v>
      </c>
      <c r="Z2" t="s">
        <v>43</v>
      </c>
    </row>
    <row r="3" spans="1:36" x14ac:dyDescent="0.3">
      <c r="A3" t="s">
        <v>11</v>
      </c>
      <c r="B3">
        <f>N3/$X3</f>
        <v>4.3369671403860457E-2</v>
      </c>
      <c r="C3">
        <f t="shared" ref="C3:K3" si="0">O3/$X3</f>
        <v>8.1541076758074482E-2</v>
      </c>
      <c r="D3">
        <f t="shared" si="0"/>
        <v>0.1516519432253747</v>
      </c>
      <c r="E3">
        <f t="shared" si="0"/>
        <v>0.19037902529524056</v>
      </c>
      <c r="F3">
        <f t="shared" si="0"/>
        <v>0.20793064198585712</v>
      </c>
      <c r="G3">
        <f t="shared" si="0"/>
        <v>0.18559004800927323</v>
      </c>
      <c r="H3">
        <f t="shared" si="0"/>
        <v>0.13413318913622144</v>
      </c>
      <c r="I3">
        <f t="shared" si="0"/>
        <v>5.2878913263644696E-3</v>
      </c>
      <c r="J3">
        <f t="shared" si="0"/>
        <v>1.1352535050951969E-4</v>
      </c>
      <c r="K3">
        <f t="shared" si="0"/>
        <v>2.9875092239347287E-6</v>
      </c>
      <c r="L3">
        <f>SUM(B3:K3)</f>
        <v>0.99999999999999989</v>
      </c>
      <c r="N3">
        <v>1.4517</v>
      </c>
      <c r="O3">
        <v>2.7294</v>
      </c>
      <c r="P3">
        <v>5.0762</v>
      </c>
      <c r="Q3">
        <v>6.3724999999999996</v>
      </c>
      <c r="R3">
        <v>6.96</v>
      </c>
      <c r="S3">
        <v>6.2122000000000002</v>
      </c>
      <c r="T3">
        <v>4.4897999999999998</v>
      </c>
      <c r="U3">
        <v>0.17699999999999999</v>
      </c>
      <c r="V3">
        <v>3.8E-3</v>
      </c>
      <c r="W3">
        <v>1E-4</v>
      </c>
      <c r="X3">
        <f>SUM(N3:W3)</f>
        <v>33.472700000000003</v>
      </c>
      <c r="Z3">
        <v>1.5144</v>
      </c>
      <c r="AA3">
        <v>2.6705999999999999</v>
      </c>
      <c r="AB3">
        <v>5.0494000000000003</v>
      </c>
      <c r="AC3">
        <v>6.3109000000000002</v>
      </c>
      <c r="AD3">
        <v>7.1329000000000002</v>
      </c>
      <c r="AE3">
        <v>6.4139999999999997</v>
      </c>
      <c r="AF3">
        <v>4.7298</v>
      </c>
      <c r="AG3">
        <v>0.18859999999999999</v>
      </c>
      <c r="AH3">
        <v>3.5999999999999999E-3</v>
      </c>
      <c r="AI3">
        <v>2.0000000000000001E-4</v>
      </c>
      <c r="AJ3">
        <f>SUM(Z3:AI3)</f>
        <v>34.014399999999995</v>
      </c>
    </row>
    <row r="4" spans="1:36" x14ac:dyDescent="0.3">
      <c r="A4" t="s">
        <v>12</v>
      </c>
      <c r="B4">
        <f t="shared" ref="B4:B9" si="1">N4/$X4</f>
        <v>4.3884554537634665E-2</v>
      </c>
      <c r="C4">
        <f t="shared" ref="C4:C9" si="2">O4/$X4</f>
        <v>7.6328025841689559E-2</v>
      </c>
      <c r="D4">
        <f t="shared" ref="D4:D9" si="3">P4/$X4</f>
        <v>0.15138081001906845</v>
      </c>
      <c r="E4">
        <f t="shared" ref="E4:E9" si="4">Q4/$X4</f>
        <v>0.18856433052820268</v>
      </c>
      <c r="F4">
        <f t="shared" ref="F4:F9" si="5">R4/$X4</f>
        <v>0.21869492249297712</v>
      </c>
      <c r="G4">
        <f t="shared" ref="G4:G9" si="6">S4/$X4</f>
        <v>0.18241670325968612</v>
      </c>
      <c r="H4">
        <f t="shared" ref="H4:H9" si="7">T4/$X4</f>
        <v>0.13312440223046984</v>
      </c>
      <c r="I4">
        <f t="shared" ref="I4:I9" si="8">U4/$X4</f>
        <v>5.494968209187755E-3</v>
      </c>
      <c r="J4">
        <f t="shared" ref="J4:J9" si="9">V4/$X4</f>
        <v>1.0827523564901979E-4</v>
      </c>
      <c r="K4">
        <f t="shared" ref="K4:K9" si="10">W4/$X4</f>
        <v>3.0076454346949944E-6</v>
      </c>
      <c r="L4">
        <f t="shared" ref="L4:L9" si="11">SUM(B4:K4)</f>
        <v>1</v>
      </c>
      <c r="N4">
        <v>1.4591000000000001</v>
      </c>
      <c r="O4">
        <v>2.5377999999999998</v>
      </c>
      <c r="P4">
        <v>5.0331999999999999</v>
      </c>
      <c r="Q4">
        <v>6.2694999999999999</v>
      </c>
      <c r="R4">
        <v>7.2713000000000001</v>
      </c>
      <c r="S4">
        <v>6.0651000000000002</v>
      </c>
      <c r="T4">
        <v>4.4261999999999997</v>
      </c>
      <c r="U4">
        <v>0.1827</v>
      </c>
      <c r="V4">
        <v>3.5999999999999999E-3</v>
      </c>
      <c r="W4">
        <v>1E-4</v>
      </c>
      <c r="X4">
        <f t="shared" ref="X4:X9" si="12">SUM(N4:W4)</f>
        <v>33.248600000000003</v>
      </c>
      <c r="Z4">
        <v>1.5052000000000001</v>
      </c>
      <c r="AA4">
        <v>2.6070000000000002</v>
      </c>
      <c r="AB4">
        <v>5.1363000000000003</v>
      </c>
      <c r="AC4">
        <v>6.2758000000000003</v>
      </c>
      <c r="AD4">
        <v>7.1611000000000002</v>
      </c>
      <c r="AE4">
        <v>6.2584</v>
      </c>
      <c r="AF4">
        <v>4.7496999999999998</v>
      </c>
      <c r="AG4">
        <v>0.19189999999999999</v>
      </c>
      <c r="AH4">
        <v>5.1000000000000004E-3</v>
      </c>
      <c r="AI4">
        <v>0</v>
      </c>
      <c r="AJ4">
        <f t="shared" ref="AJ4:AJ9" si="13">SUM(Z4:AI4)</f>
        <v>33.890499999999996</v>
      </c>
    </row>
    <row r="5" spans="1:36" x14ac:dyDescent="0.3">
      <c r="A5" t="s">
        <v>13</v>
      </c>
      <c r="B5">
        <f t="shared" si="1"/>
        <v>4.5612476971729994E-2</v>
      </c>
      <c r="C5">
        <f t="shared" si="2"/>
        <v>8.2103658719538189E-2</v>
      </c>
      <c r="D5">
        <f t="shared" si="3"/>
        <v>0.15444393103820744</v>
      </c>
      <c r="E5">
        <f t="shared" si="4"/>
        <v>0.18982795556969093</v>
      </c>
      <c r="F5">
        <f t="shared" si="5"/>
        <v>0.21014384042534043</v>
      </c>
      <c r="G5">
        <f t="shared" si="6"/>
        <v>0.17906842771673581</v>
      </c>
      <c r="H5">
        <f t="shared" si="7"/>
        <v>0.13321291623410528</v>
      </c>
      <c r="I5">
        <f t="shared" si="8"/>
        <v>5.4427728737480733E-3</v>
      </c>
      <c r="J5">
        <f t="shared" si="9"/>
        <v>1.4402045090402838E-4</v>
      </c>
      <c r="K5">
        <f t="shared" si="10"/>
        <v>0</v>
      </c>
      <c r="L5">
        <f t="shared" si="11"/>
        <v>1.0000000000000002</v>
      </c>
      <c r="N5">
        <v>1.5202</v>
      </c>
      <c r="O5">
        <v>2.7364000000000002</v>
      </c>
      <c r="P5">
        <v>5.1474000000000002</v>
      </c>
      <c r="Q5">
        <v>6.3266999999999998</v>
      </c>
      <c r="R5">
        <v>7.0038</v>
      </c>
      <c r="S5">
        <v>5.9680999999999997</v>
      </c>
      <c r="T5">
        <v>4.4398</v>
      </c>
      <c r="U5">
        <v>0.18140000000000001</v>
      </c>
      <c r="V5">
        <v>4.7999999999999996E-3</v>
      </c>
      <c r="W5">
        <v>0</v>
      </c>
      <c r="X5">
        <f t="shared" si="12"/>
        <v>33.328599999999994</v>
      </c>
      <c r="Z5">
        <v>1.6033999999999999</v>
      </c>
      <c r="AA5">
        <v>2.7145000000000001</v>
      </c>
      <c r="AB5">
        <v>5.0438000000000001</v>
      </c>
      <c r="AC5">
        <v>6.3867000000000003</v>
      </c>
      <c r="AD5">
        <v>7.0800999999999998</v>
      </c>
      <c r="AE5">
        <v>6.3296999999999999</v>
      </c>
      <c r="AF5">
        <v>4.7850000000000001</v>
      </c>
      <c r="AG5">
        <v>0.18790000000000001</v>
      </c>
      <c r="AH5">
        <v>3.8999999999999998E-3</v>
      </c>
      <c r="AI5">
        <v>0</v>
      </c>
      <c r="AJ5">
        <f t="shared" si="13"/>
        <v>34.134999999999998</v>
      </c>
    </row>
    <row r="6" spans="1:36" x14ac:dyDescent="0.3">
      <c r="A6" t="s">
        <v>14</v>
      </c>
      <c r="B6">
        <f t="shared" si="1"/>
        <v>4.5036831300567563E-2</v>
      </c>
      <c r="C6">
        <f t="shared" si="2"/>
        <v>7.9286921869339444E-2</v>
      </c>
      <c r="D6">
        <f t="shared" si="3"/>
        <v>0.15322424827919331</v>
      </c>
      <c r="E6">
        <f t="shared" si="4"/>
        <v>0.18248098055790363</v>
      </c>
      <c r="F6">
        <f t="shared" si="5"/>
        <v>0.20921688201907981</v>
      </c>
      <c r="G6">
        <f t="shared" si="6"/>
        <v>0.18896570462504525</v>
      </c>
      <c r="H6">
        <f t="shared" si="7"/>
        <v>0.13634524815843496</v>
      </c>
      <c r="I6">
        <f t="shared" si="8"/>
        <v>5.3163869097935029E-3</v>
      </c>
      <c r="J6">
        <f t="shared" si="9"/>
        <v>1.2377732157951938E-4</v>
      </c>
      <c r="K6">
        <f t="shared" si="10"/>
        <v>3.0189590629151066E-6</v>
      </c>
      <c r="L6">
        <f t="shared" si="11"/>
        <v>1</v>
      </c>
      <c r="N6">
        <v>1.4918</v>
      </c>
      <c r="O6">
        <v>2.6263000000000001</v>
      </c>
      <c r="P6">
        <v>5.0754000000000001</v>
      </c>
      <c r="Q6">
        <v>6.0445000000000002</v>
      </c>
      <c r="R6">
        <v>6.9301000000000004</v>
      </c>
      <c r="S6">
        <v>6.2592999999999996</v>
      </c>
      <c r="T6">
        <v>4.5163000000000002</v>
      </c>
      <c r="U6">
        <v>0.17610000000000001</v>
      </c>
      <c r="V6">
        <v>4.1000000000000003E-3</v>
      </c>
      <c r="W6">
        <v>1E-4</v>
      </c>
      <c r="X6">
        <f t="shared" si="12"/>
        <v>33.124000000000002</v>
      </c>
      <c r="Z6">
        <v>1.5918000000000001</v>
      </c>
      <c r="AA6">
        <v>2.8559000000000001</v>
      </c>
      <c r="AB6">
        <v>5.1985999999999999</v>
      </c>
      <c r="AC6">
        <v>6.3201999999999998</v>
      </c>
      <c r="AD6">
        <v>7.0373000000000001</v>
      </c>
      <c r="AE6">
        <v>6.4329000000000001</v>
      </c>
      <c r="AF6">
        <v>4.6776</v>
      </c>
      <c r="AG6">
        <v>0.18010000000000001</v>
      </c>
      <c r="AH6">
        <v>4.4999999999999997E-3</v>
      </c>
      <c r="AI6">
        <v>2.0000000000000001E-4</v>
      </c>
      <c r="AJ6">
        <f t="shared" si="13"/>
        <v>34.299100000000003</v>
      </c>
    </row>
    <row r="7" spans="1:36" x14ac:dyDescent="0.3">
      <c r="A7" t="s">
        <v>15</v>
      </c>
      <c r="B7">
        <f t="shared" si="1"/>
        <v>4.5519094341474484E-2</v>
      </c>
      <c r="C7">
        <f t="shared" si="2"/>
        <v>7.2058864123617117E-2</v>
      </c>
      <c r="D7">
        <f t="shared" si="3"/>
        <v>0.14556847493704742</v>
      </c>
      <c r="E7">
        <f t="shared" si="4"/>
        <v>0.18622925478240329</v>
      </c>
      <c r="F7">
        <f t="shared" si="5"/>
        <v>0.21403881130784966</v>
      </c>
      <c r="G7">
        <f t="shared" si="6"/>
        <v>0.1848766558601885</v>
      </c>
      <c r="H7">
        <f t="shared" si="7"/>
        <v>0.1450439978039437</v>
      </c>
      <c r="I7">
        <f t="shared" si="8"/>
        <v>6.5176251920782474E-3</v>
      </c>
      <c r="J7">
        <f t="shared" si="9"/>
        <v>1.3802029818518641E-4</v>
      </c>
      <c r="K7">
        <f t="shared" si="10"/>
        <v>9.2013532123457603E-6</v>
      </c>
      <c r="L7">
        <f t="shared" si="11"/>
        <v>1</v>
      </c>
      <c r="N7">
        <v>1.4841</v>
      </c>
      <c r="O7">
        <v>2.3494000000000002</v>
      </c>
      <c r="P7">
        <v>4.7461000000000002</v>
      </c>
      <c r="Q7">
        <v>6.0717999999999996</v>
      </c>
      <c r="R7">
        <v>6.9785000000000004</v>
      </c>
      <c r="S7">
        <v>6.0277000000000003</v>
      </c>
      <c r="T7">
        <v>4.7290000000000001</v>
      </c>
      <c r="U7">
        <v>0.21249999999999999</v>
      </c>
      <c r="V7">
        <v>4.4999999999999997E-3</v>
      </c>
      <c r="W7">
        <v>2.9999999999999997E-4</v>
      </c>
      <c r="X7">
        <f t="shared" si="12"/>
        <v>32.603900000000003</v>
      </c>
      <c r="Z7">
        <v>1.4500999999999999</v>
      </c>
      <c r="AA7">
        <v>2.3026</v>
      </c>
      <c r="AB7">
        <v>4.7760999999999996</v>
      </c>
      <c r="AC7">
        <v>5.9001999999999999</v>
      </c>
      <c r="AD7">
        <v>6.9934000000000003</v>
      </c>
      <c r="AE7">
        <v>6.3212999999999999</v>
      </c>
      <c r="AF7">
        <v>4.9579000000000004</v>
      </c>
      <c r="AG7">
        <v>0.22170000000000001</v>
      </c>
      <c r="AH7">
        <v>3.7000000000000002E-3</v>
      </c>
      <c r="AI7">
        <v>2.0000000000000001E-4</v>
      </c>
      <c r="AJ7">
        <f t="shared" si="13"/>
        <v>32.927199999999999</v>
      </c>
    </row>
    <row r="8" spans="1:36" x14ac:dyDescent="0.3">
      <c r="A8" t="s">
        <v>16</v>
      </c>
      <c r="B8">
        <f t="shared" si="1"/>
        <v>4.8803747145869755E-2</v>
      </c>
      <c r="C8">
        <f t="shared" si="2"/>
        <v>8.4879351890569874E-2</v>
      </c>
      <c r="D8">
        <f t="shared" si="3"/>
        <v>0.15973202010751689</v>
      </c>
      <c r="E8">
        <f t="shared" si="4"/>
        <v>0.18550718533872024</v>
      </c>
      <c r="F8">
        <f t="shared" si="5"/>
        <v>0.20311780826862971</v>
      </c>
      <c r="G8">
        <f t="shared" si="6"/>
        <v>0.17794430422396237</v>
      </c>
      <c r="H8">
        <f t="shared" si="7"/>
        <v>0.13442314229587893</v>
      </c>
      <c r="I8">
        <f t="shared" si="8"/>
        <v>5.4901583271412379E-3</v>
      </c>
      <c r="J8">
        <f t="shared" si="9"/>
        <v>1.0228240171112443E-4</v>
      </c>
      <c r="K8">
        <f t="shared" si="10"/>
        <v>0</v>
      </c>
      <c r="L8">
        <f t="shared" si="11"/>
        <v>1.0000000000000002</v>
      </c>
      <c r="N8">
        <v>1.6223000000000001</v>
      </c>
      <c r="O8">
        <v>2.8214999999999999</v>
      </c>
      <c r="P8">
        <v>5.3097000000000003</v>
      </c>
      <c r="Q8">
        <v>6.1665000000000001</v>
      </c>
      <c r="R8">
        <v>6.7519</v>
      </c>
      <c r="S8">
        <v>5.9150999999999998</v>
      </c>
      <c r="T8">
        <v>4.4683999999999999</v>
      </c>
      <c r="U8">
        <v>0.1825</v>
      </c>
      <c r="V8">
        <v>3.3999999999999998E-3</v>
      </c>
      <c r="W8">
        <v>0</v>
      </c>
      <c r="X8">
        <f t="shared" si="12"/>
        <v>33.241299999999995</v>
      </c>
      <c r="Z8">
        <v>1.4796</v>
      </c>
      <c r="AA8">
        <v>2.6331000000000002</v>
      </c>
      <c r="AB8">
        <v>5.1843000000000004</v>
      </c>
      <c r="AC8">
        <v>6.4832999999999998</v>
      </c>
      <c r="AD8">
        <v>7.0635000000000003</v>
      </c>
      <c r="AE8">
        <v>6.1928999999999998</v>
      </c>
      <c r="AF8">
        <v>4.8705999999999996</v>
      </c>
      <c r="AG8">
        <v>0.1898</v>
      </c>
      <c r="AH8">
        <v>4.0000000000000001E-3</v>
      </c>
      <c r="AI8">
        <v>0</v>
      </c>
      <c r="AJ8">
        <f t="shared" si="13"/>
        <v>34.101100000000002</v>
      </c>
    </row>
    <row r="9" spans="1:36" x14ac:dyDescent="0.3">
      <c r="A9" s="2" t="s">
        <v>17</v>
      </c>
      <c r="B9">
        <f t="shared" si="1"/>
        <v>4.5605029311756376E-2</v>
      </c>
      <c r="C9">
        <f t="shared" si="2"/>
        <v>7.4701653529661363E-2</v>
      </c>
      <c r="D9">
        <f t="shared" si="3"/>
        <v>0.1507897142925439</v>
      </c>
      <c r="E9">
        <f t="shared" si="4"/>
        <v>0.1922325339580134</v>
      </c>
      <c r="F9">
        <f t="shared" si="5"/>
        <v>0.21219799329504779</v>
      </c>
      <c r="G9">
        <f t="shared" si="6"/>
        <v>0.1832089351555824</v>
      </c>
      <c r="H9">
        <f t="shared" si="7"/>
        <v>0.13580516197658646</v>
      </c>
      <c r="I9">
        <f t="shared" si="8"/>
        <v>5.3514124023688447E-3</v>
      </c>
      <c r="J9">
        <f t="shared" si="9"/>
        <v>1.0159018519293172E-4</v>
      </c>
      <c r="K9">
        <f t="shared" si="10"/>
        <v>5.9758932466430429E-6</v>
      </c>
      <c r="L9">
        <f t="shared" si="11"/>
        <v>1</v>
      </c>
      <c r="N9" s="2">
        <v>1.5263</v>
      </c>
      <c r="O9" s="2">
        <v>2.5001000000000002</v>
      </c>
      <c r="P9" s="2">
        <v>5.0465999999999998</v>
      </c>
      <c r="Q9" s="2">
        <v>6.4336000000000002</v>
      </c>
      <c r="R9" s="2">
        <v>7.1017999999999999</v>
      </c>
      <c r="S9" s="2">
        <v>6.1315999999999997</v>
      </c>
      <c r="T9" s="2">
        <v>4.5450999999999997</v>
      </c>
      <c r="U9" s="2">
        <v>0.17910000000000001</v>
      </c>
      <c r="V9" s="2">
        <v>3.3999999999999998E-3</v>
      </c>
      <c r="W9" s="2">
        <v>2.0000000000000001E-4</v>
      </c>
      <c r="X9">
        <f t="shared" si="12"/>
        <v>33.467799999999997</v>
      </c>
      <c r="Z9" s="2">
        <v>1.5126999999999999</v>
      </c>
      <c r="AA9" s="2">
        <v>2.7202999999999999</v>
      </c>
      <c r="AB9" s="2">
        <v>5.1212</v>
      </c>
      <c r="AC9" s="2">
        <v>6.5175999999999998</v>
      </c>
      <c r="AD9" s="2">
        <v>7.1543999999999999</v>
      </c>
      <c r="AE9" s="2">
        <v>6.2026000000000003</v>
      </c>
      <c r="AF9" s="2">
        <v>4.5944000000000003</v>
      </c>
      <c r="AG9" s="2">
        <v>0.18179999999999999</v>
      </c>
      <c r="AH9" s="2">
        <v>2.7000000000000001E-3</v>
      </c>
      <c r="AI9" s="2">
        <v>0</v>
      </c>
      <c r="AJ9">
        <f t="shared" si="13"/>
        <v>34.0077</v>
      </c>
    </row>
    <row r="10" spans="1:36" x14ac:dyDescent="0.3">
      <c r="A10" s="3" t="s">
        <v>18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N10" s="2" t="s">
        <v>1</v>
      </c>
      <c r="O10" s="2" t="s">
        <v>2</v>
      </c>
      <c r="P10" s="2" t="s">
        <v>3</v>
      </c>
      <c r="Q10" s="2" t="s">
        <v>4</v>
      </c>
      <c r="R10" s="2" t="s">
        <v>5</v>
      </c>
      <c r="S10" s="2" t="s">
        <v>6</v>
      </c>
      <c r="T10" s="2" t="s">
        <v>7</v>
      </c>
      <c r="U10" s="2" t="s">
        <v>8</v>
      </c>
      <c r="V10" s="2" t="s">
        <v>9</v>
      </c>
      <c r="W10" s="2" t="s">
        <v>10</v>
      </c>
    </row>
    <row r="11" spans="1:36" x14ac:dyDescent="0.3">
      <c r="A11" t="s">
        <v>11</v>
      </c>
      <c r="B11">
        <f>N11/$X11</f>
        <v>3.9467507209442698E-2</v>
      </c>
      <c r="C11">
        <f t="shared" ref="C11:C17" si="14">O11/$X11</f>
        <v>7.0582679453647199E-2</v>
      </c>
      <c r="D11">
        <f t="shared" ref="D11:D17" si="15">P11/$X11</f>
        <v>0.14286153399056625</v>
      </c>
      <c r="E11">
        <f t="shared" ref="E11:E17" si="16">Q11/$X11</f>
        <v>0.18743433259562292</v>
      </c>
      <c r="F11">
        <f t="shared" ref="F11:F17" si="17">R11/$X11</f>
        <v>0.21587251022734893</v>
      </c>
      <c r="G11">
        <f t="shared" ref="G11:G17" si="18">S11/$X11</f>
        <v>0.19193045402722822</v>
      </c>
      <c r="H11">
        <f t="shared" ref="H11:H17" si="19">T11/$X11</f>
        <v>0.14620638007734782</v>
      </c>
      <c r="I11">
        <f t="shared" ref="I11:I17" si="20">U11/$X11</f>
        <v>5.5216506829410053E-3</v>
      </c>
      <c r="J11">
        <f t="shared" ref="J11:J17" si="21">V11/$X11</f>
        <v>1.2295173585496168E-4</v>
      </c>
      <c r="K11">
        <f t="shared" ref="K11:K17" si="22">W11/$X11</f>
        <v>0</v>
      </c>
      <c r="L11">
        <f>SUM(B11:K11)</f>
        <v>1</v>
      </c>
      <c r="N11">
        <v>1.4124000000000001</v>
      </c>
      <c r="O11">
        <v>2.5259</v>
      </c>
      <c r="P11">
        <v>5.1124999999999998</v>
      </c>
      <c r="Q11">
        <v>6.7076000000000002</v>
      </c>
      <c r="R11">
        <v>7.7252999999999998</v>
      </c>
      <c r="S11">
        <v>6.8685</v>
      </c>
      <c r="T11">
        <v>5.2321999999999997</v>
      </c>
      <c r="U11">
        <v>0.1976</v>
      </c>
      <c r="V11">
        <v>4.4000000000000003E-3</v>
      </c>
      <c r="W11">
        <v>0</v>
      </c>
      <c r="X11">
        <f>SUM(N11:W11)</f>
        <v>35.7864</v>
      </c>
    </row>
    <row r="12" spans="1:36" x14ac:dyDescent="0.3">
      <c r="A12" t="s">
        <v>12</v>
      </c>
      <c r="B12">
        <f t="shared" ref="B12:B17" si="23">N12/$X12</f>
        <v>4.0246143159640146E-2</v>
      </c>
      <c r="C12">
        <f t="shared" si="14"/>
        <v>7.2338864178719889E-2</v>
      </c>
      <c r="D12">
        <f t="shared" si="15"/>
        <v>0.14264987620018599</v>
      </c>
      <c r="E12">
        <f t="shared" si="16"/>
        <v>0.18757072274443462</v>
      </c>
      <c r="F12">
        <f t="shared" si="17"/>
        <v>0.21384037106333398</v>
      </c>
      <c r="G12">
        <f t="shared" si="18"/>
        <v>0.19464859898943501</v>
      </c>
      <c r="H12">
        <f t="shared" si="19"/>
        <v>0.14316244104103881</v>
      </c>
      <c r="I12">
        <f t="shared" si="20"/>
        <v>5.411340287036312E-3</v>
      </c>
      <c r="J12">
        <f t="shared" si="21"/>
        <v>1.2604053463593893E-4</v>
      </c>
      <c r="K12">
        <f t="shared" si="22"/>
        <v>5.6018015393750637E-6</v>
      </c>
      <c r="L12">
        <f t="shared" ref="L12:L17" si="24">SUM(B12:K12)</f>
        <v>1</v>
      </c>
      <c r="N12">
        <v>1.4369000000000001</v>
      </c>
      <c r="O12">
        <v>2.5827</v>
      </c>
      <c r="P12">
        <v>5.093</v>
      </c>
      <c r="Q12">
        <v>6.6967999999999996</v>
      </c>
      <c r="R12">
        <v>7.6346999999999996</v>
      </c>
      <c r="S12">
        <v>6.9494999999999996</v>
      </c>
      <c r="T12">
        <v>5.1113</v>
      </c>
      <c r="U12">
        <v>0.19320000000000001</v>
      </c>
      <c r="V12">
        <v>4.4999999999999997E-3</v>
      </c>
      <c r="W12">
        <v>2.0000000000000001E-4</v>
      </c>
      <c r="X12">
        <f t="shared" ref="X12:X17" si="25">SUM(N12:W12)</f>
        <v>35.702799999999996</v>
      </c>
    </row>
    <row r="13" spans="1:36" x14ac:dyDescent="0.3">
      <c r="A13" t="s">
        <v>13</v>
      </c>
      <c r="B13">
        <f t="shared" si="23"/>
        <v>4.3399046607525645E-2</v>
      </c>
      <c r="C13">
        <f t="shared" si="14"/>
        <v>7.8329039647039592E-2</v>
      </c>
      <c r="D13">
        <f t="shared" si="15"/>
        <v>0.14166946287786983</v>
      </c>
      <c r="E13">
        <f t="shared" si="16"/>
        <v>0.18148288857398778</v>
      </c>
      <c r="F13">
        <f t="shared" si="17"/>
        <v>0.21248339605165736</v>
      </c>
      <c r="G13">
        <f t="shared" si="18"/>
        <v>0.19317428668883302</v>
      </c>
      <c r="H13">
        <f t="shared" si="19"/>
        <v>0.14397113755417948</v>
      </c>
      <c r="I13">
        <f t="shared" si="20"/>
        <v>5.393683428219641E-3</v>
      </c>
      <c r="J13">
        <f t="shared" si="21"/>
        <v>9.4285468668106829E-5</v>
      </c>
      <c r="K13">
        <f t="shared" si="22"/>
        <v>2.7731020196502011E-6</v>
      </c>
      <c r="L13">
        <f t="shared" si="24"/>
        <v>1</v>
      </c>
      <c r="N13">
        <v>1.5649999999999999</v>
      </c>
      <c r="O13">
        <v>2.8246000000000002</v>
      </c>
      <c r="P13">
        <v>5.1086999999999998</v>
      </c>
      <c r="Q13">
        <v>6.5444000000000004</v>
      </c>
      <c r="R13">
        <v>7.6623000000000001</v>
      </c>
      <c r="S13">
        <v>6.9660000000000002</v>
      </c>
      <c r="T13">
        <v>5.1917</v>
      </c>
      <c r="U13">
        <v>0.19450000000000001</v>
      </c>
      <c r="V13">
        <v>3.3999999999999998E-3</v>
      </c>
      <c r="W13">
        <v>1E-4</v>
      </c>
      <c r="X13">
        <f t="shared" si="25"/>
        <v>36.060699999999997</v>
      </c>
    </row>
    <row r="14" spans="1:36" x14ac:dyDescent="0.3">
      <c r="A14" t="s">
        <v>14</v>
      </c>
      <c r="B14">
        <f t="shared" si="23"/>
        <v>4.3775626664412218E-2</v>
      </c>
      <c r="C14">
        <f t="shared" si="14"/>
        <v>7.793887644249059E-2</v>
      </c>
      <c r="D14">
        <f t="shared" si="15"/>
        <v>0.14178749066520127</v>
      </c>
      <c r="E14">
        <f t="shared" si="16"/>
        <v>0.18137549139789491</v>
      </c>
      <c r="F14">
        <f t="shared" si="17"/>
        <v>0.21157092333488325</v>
      </c>
      <c r="G14">
        <f t="shared" si="18"/>
        <v>0.19615899451888799</v>
      </c>
      <c r="H14">
        <f t="shared" si="19"/>
        <v>0.14157613673190458</v>
      </c>
      <c r="I14">
        <f t="shared" si="20"/>
        <v>5.6981020416789954E-3</v>
      </c>
      <c r="J14">
        <f t="shared" si="21"/>
        <v>1.0990404531428329E-4</v>
      </c>
      <c r="K14">
        <f t="shared" si="22"/>
        <v>8.4541573318679443E-6</v>
      </c>
      <c r="L14">
        <f t="shared" si="24"/>
        <v>1</v>
      </c>
      <c r="N14">
        <v>1.5533999999999999</v>
      </c>
      <c r="O14">
        <v>2.7656999999999998</v>
      </c>
      <c r="P14">
        <v>5.0313999999999997</v>
      </c>
      <c r="Q14">
        <v>6.4362000000000004</v>
      </c>
      <c r="R14">
        <v>7.5076999999999998</v>
      </c>
      <c r="S14">
        <v>6.9607999999999999</v>
      </c>
      <c r="T14">
        <v>5.0239000000000003</v>
      </c>
      <c r="U14">
        <v>0.20219999999999999</v>
      </c>
      <c r="V14">
        <v>3.8999999999999998E-3</v>
      </c>
      <c r="W14">
        <v>2.9999999999999997E-4</v>
      </c>
      <c r="X14">
        <f t="shared" si="25"/>
        <v>35.485500000000002</v>
      </c>
    </row>
    <row r="15" spans="1:36" x14ac:dyDescent="0.3">
      <c r="A15" t="s">
        <v>15</v>
      </c>
      <c r="B15">
        <f t="shared" si="23"/>
        <v>4.2773294413103645E-2</v>
      </c>
      <c r="C15">
        <f t="shared" si="14"/>
        <v>6.9477741068348906E-2</v>
      </c>
      <c r="D15">
        <f t="shared" si="15"/>
        <v>0.14183459092425094</v>
      </c>
      <c r="E15">
        <f t="shared" si="16"/>
        <v>0.17931431601212075</v>
      </c>
      <c r="F15">
        <f t="shared" si="17"/>
        <v>0.205220593894579</v>
      </c>
      <c r="G15">
        <f t="shared" si="18"/>
        <v>0.20088482709668959</v>
      </c>
      <c r="H15">
        <f t="shared" si="19"/>
        <v>0.15388123818781482</v>
      </c>
      <c r="I15">
        <f t="shared" si="20"/>
        <v>6.4452128402550718E-3</v>
      </c>
      <c r="J15">
        <f t="shared" si="21"/>
        <v>1.6248435731735475E-4</v>
      </c>
      <c r="K15">
        <f t="shared" si="22"/>
        <v>5.7012055199071841E-6</v>
      </c>
      <c r="L15">
        <f t="shared" si="24"/>
        <v>1</v>
      </c>
      <c r="N15">
        <v>1.5004999999999999</v>
      </c>
      <c r="O15">
        <v>2.4373</v>
      </c>
      <c r="P15">
        <v>4.9756</v>
      </c>
      <c r="Q15">
        <v>6.2904</v>
      </c>
      <c r="R15">
        <v>7.1992000000000003</v>
      </c>
      <c r="S15">
        <v>7.0471000000000004</v>
      </c>
      <c r="T15">
        <v>5.3982000000000001</v>
      </c>
      <c r="U15">
        <v>0.2261</v>
      </c>
      <c r="V15">
        <v>5.7000000000000002E-3</v>
      </c>
      <c r="W15">
        <v>2.0000000000000001E-4</v>
      </c>
      <c r="X15">
        <f t="shared" si="25"/>
        <v>35.080300000000001</v>
      </c>
    </row>
    <row r="16" spans="1:36" x14ac:dyDescent="0.3">
      <c r="A16" t="s">
        <v>16</v>
      </c>
      <c r="B16">
        <f t="shared" si="23"/>
        <v>4.1800479751657967E-2</v>
      </c>
      <c r="C16">
        <f t="shared" si="14"/>
        <v>7.5055735854381259E-2</v>
      </c>
      <c r="D16">
        <f t="shared" si="15"/>
        <v>0.14603640468463383</v>
      </c>
      <c r="E16">
        <f t="shared" si="16"/>
        <v>0.18119373500776068</v>
      </c>
      <c r="F16">
        <f t="shared" si="17"/>
        <v>0.21734443346973331</v>
      </c>
      <c r="G16">
        <f t="shared" si="18"/>
        <v>0.18988570622266121</v>
      </c>
      <c r="H16">
        <f t="shared" si="19"/>
        <v>0.14285311133060533</v>
      </c>
      <c r="I16">
        <f t="shared" si="20"/>
        <v>5.7090447297869339E-3</v>
      </c>
      <c r="J16">
        <f t="shared" si="21"/>
        <v>1.1006067447438971E-4</v>
      </c>
      <c r="K16">
        <f t="shared" si="22"/>
        <v>1.1288274305065613E-5</v>
      </c>
      <c r="L16">
        <f t="shared" si="24"/>
        <v>1</v>
      </c>
      <c r="N16">
        <v>1.4812000000000001</v>
      </c>
      <c r="O16">
        <v>2.6596000000000002</v>
      </c>
      <c r="P16">
        <v>5.1748000000000003</v>
      </c>
      <c r="Q16">
        <v>6.4206000000000003</v>
      </c>
      <c r="R16">
        <v>7.7016</v>
      </c>
      <c r="S16">
        <v>6.7286000000000001</v>
      </c>
      <c r="T16">
        <v>5.0620000000000003</v>
      </c>
      <c r="U16">
        <v>0.20230000000000001</v>
      </c>
      <c r="V16">
        <v>3.8999999999999998E-3</v>
      </c>
      <c r="W16">
        <v>4.0000000000000002E-4</v>
      </c>
      <c r="X16">
        <f t="shared" si="25"/>
        <v>35.435000000000002</v>
      </c>
    </row>
    <row r="17" spans="1:24" x14ac:dyDescent="0.3">
      <c r="A17" s="2" t="s">
        <v>17</v>
      </c>
      <c r="B17">
        <f t="shared" si="23"/>
        <v>4.3301022885172347E-2</v>
      </c>
      <c r="C17">
        <f t="shared" si="14"/>
        <v>7.604395113812018E-2</v>
      </c>
      <c r="D17">
        <f t="shared" si="15"/>
        <v>0.14724133505209291</v>
      </c>
      <c r="E17">
        <f t="shared" si="16"/>
        <v>0.18216619512385671</v>
      </c>
      <c r="F17">
        <f t="shared" si="17"/>
        <v>0.21329081077461368</v>
      </c>
      <c r="G17">
        <f t="shared" si="18"/>
        <v>0.18837716728329956</v>
      </c>
      <c r="H17">
        <f t="shared" si="19"/>
        <v>0.14400470984771119</v>
      </c>
      <c r="I17">
        <f t="shared" si="20"/>
        <v>5.4632001294650078E-3</v>
      </c>
      <c r="J17">
        <f t="shared" si="21"/>
        <v>1.088175715266268E-4</v>
      </c>
      <c r="K17">
        <f t="shared" si="22"/>
        <v>2.7901941417083798E-6</v>
      </c>
      <c r="L17">
        <f t="shared" si="24"/>
        <v>0.99999999999999989</v>
      </c>
      <c r="N17" s="2">
        <v>1.5519000000000001</v>
      </c>
      <c r="O17" s="2">
        <v>2.7254</v>
      </c>
      <c r="P17" s="2">
        <v>5.2770999999999999</v>
      </c>
      <c r="Q17" s="2">
        <v>6.5288000000000004</v>
      </c>
      <c r="R17" s="2">
        <v>7.6443000000000003</v>
      </c>
      <c r="S17" s="2">
        <v>6.7514000000000003</v>
      </c>
      <c r="T17" s="2">
        <v>5.1611000000000002</v>
      </c>
      <c r="U17" s="2">
        <v>0.1958</v>
      </c>
      <c r="V17" s="2">
        <v>3.8999999999999998E-3</v>
      </c>
      <c r="W17" s="2">
        <v>1E-4</v>
      </c>
      <c r="X17">
        <f t="shared" si="25"/>
        <v>35.839800000000004</v>
      </c>
    </row>
  </sheetData>
  <mergeCells count="1">
    <mergeCell ref="B1:K1"/>
  </mergeCells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D0A7-6931-4C01-A919-6784B90E63D2}">
  <dimension ref="A2:L17"/>
  <sheetViews>
    <sheetView topLeftCell="A19" workbookViewId="0">
      <selection activeCell="S54" sqref="S54"/>
    </sheetView>
  </sheetViews>
  <sheetFormatPr defaultRowHeight="14.4" x14ac:dyDescent="0.3"/>
  <sheetData>
    <row r="2" spans="1:12" x14ac:dyDescent="0.3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 spans="1:12" x14ac:dyDescent="0.3">
      <c r="A3" t="s">
        <v>11</v>
      </c>
      <c r="B3">
        <v>1.2388999999999999</v>
      </c>
      <c r="C3">
        <v>1.9061999999999999</v>
      </c>
      <c r="D3">
        <v>3.4990999999999999</v>
      </c>
      <c r="E3">
        <v>4.0721999999999996</v>
      </c>
      <c r="F3">
        <v>4.5778999999999996</v>
      </c>
      <c r="G3">
        <v>4.3112000000000004</v>
      </c>
      <c r="H3">
        <v>3.7589000000000001</v>
      </c>
      <c r="I3">
        <v>0.13950000000000001</v>
      </c>
      <c r="J3">
        <v>4.3E-3</v>
      </c>
      <c r="K3">
        <v>1E-4</v>
      </c>
      <c r="L3">
        <f>SUM(B3:K3)</f>
        <v>23.508300000000002</v>
      </c>
    </row>
    <row r="4" spans="1:12" x14ac:dyDescent="0.3">
      <c r="A4" t="s">
        <v>12</v>
      </c>
      <c r="B4">
        <v>1.2662</v>
      </c>
      <c r="C4">
        <v>1.7532000000000001</v>
      </c>
      <c r="D4">
        <v>3.5354999999999999</v>
      </c>
      <c r="E4">
        <v>4.2267000000000001</v>
      </c>
      <c r="F4">
        <v>4.8806000000000003</v>
      </c>
      <c r="G4">
        <v>4.2835999999999999</v>
      </c>
      <c r="H4">
        <v>3.6977000000000002</v>
      </c>
      <c r="I4">
        <v>0.13900000000000001</v>
      </c>
      <c r="J4">
        <v>2.2000000000000001E-3</v>
      </c>
      <c r="K4">
        <v>2.9999999999999997E-4</v>
      </c>
      <c r="L4">
        <f t="shared" ref="L4:L17" si="0">SUM(B4:K4)</f>
        <v>23.785</v>
      </c>
    </row>
    <row r="5" spans="1:12" x14ac:dyDescent="0.3">
      <c r="A5" t="s">
        <v>13</v>
      </c>
      <c r="B5">
        <v>1.1765000000000001</v>
      </c>
      <c r="C5">
        <v>1.6782999999999999</v>
      </c>
      <c r="D5">
        <v>3.3723000000000001</v>
      </c>
      <c r="E5">
        <v>4.1970000000000001</v>
      </c>
      <c r="F5">
        <v>4.6894</v>
      </c>
      <c r="G5">
        <v>4.2830000000000004</v>
      </c>
      <c r="H5">
        <v>3.786</v>
      </c>
      <c r="I5">
        <v>0.1434</v>
      </c>
      <c r="J5">
        <v>3.5999999999999999E-3</v>
      </c>
      <c r="K5">
        <v>0</v>
      </c>
      <c r="L5">
        <f t="shared" si="0"/>
        <v>23.329499999999999</v>
      </c>
    </row>
    <row r="6" spans="1:12" x14ac:dyDescent="0.3">
      <c r="A6" t="s">
        <v>14</v>
      </c>
      <c r="B6">
        <v>1.1876</v>
      </c>
      <c r="C6">
        <v>1.8371999999999999</v>
      </c>
      <c r="D6">
        <v>3.6025999999999998</v>
      </c>
      <c r="E6">
        <v>4.1580000000000004</v>
      </c>
      <c r="F6">
        <v>4.8002000000000002</v>
      </c>
      <c r="G6">
        <v>4.2026000000000003</v>
      </c>
      <c r="H6">
        <v>3.6101000000000001</v>
      </c>
      <c r="I6">
        <v>0.14149999999999999</v>
      </c>
      <c r="J6">
        <v>3.0999999999999999E-3</v>
      </c>
      <c r="K6">
        <v>1E-4</v>
      </c>
      <c r="L6">
        <f t="shared" si="0"/>
        <v>23.542999999999999</v>
      </c>
    </row>
    <row r="7" spans="1:12" x14ac:dyDescent="0.3">
      <c r="A7" t="s">
        <v>15</v>
      </c>
      <c r="B7">
        <v>1.1600999999999999</v>
      </c>
      <c r="C7">
        <v>1.5924</v>
      </c>
      <c r="D7">
        <v>3.4043999999999999</v>
      </c>
      <c r="E7">
        <v>3.8523000000000001</v>
      </c>
      <c r="F7">
        <v>4.4889000000000001</v>
      </c>
      <c r="G7">
        <v>4.3522999999999996</v>
      </c>
      <c r="H7">
        <v>3.8732000000000002</v>
      </c>
      <c r="I7">
        <v>0.16070000000000001</v>
      </c>
      <c r="J7">
        <v>3.0999999999999999E-3</v>
      </c>
      <c r="K7">
        <v>2.0000000000000001E-4</v>
      </c>
      <c r="L7">
        <f t="shared" si="0"/>
        <v>22.887599999999999</v>
      </c>
    </row>
    <row r="8" spans="1:12" x14ac:dyDescent="0.3">
      <c r="A8" t="s">
        <v>16</v>
      </c>
      <c r="B8">
        <v>1.2323</v>
      </c>
      <c r="C8">
        <v>1.8635999999999999</v>
      </c>
      <c r="D8">
        <v>3.4609000000000001</v>
      </c>
      <c r="E8">
        <v>4.0994999999999999</v>
      </c>
      <c r="F8">
        <v>4.6132</v>
      </c>
      <c r="G8">
        <v>4.2049000000000003</v>
      </c>
      <c r="H8">
        <v>3.8336000000000001</v>
      </c>
      <c r="I8">
        <v>0.151</v>
      </c>
      <c r="J8">
        <v>4.1000000000000003E-3</v>
      </c>
      <c r="K8">
        <v>0</v>
      </c>
      <c r="L8">
        <f t="shared" si="0"/>
        <v>23.463100000000004</v>
      </c>
    </row>
    <row r="9" spans="1:12" x14ac:dyDescent="0.3">
      <c r="A9" t="s">
        <v>17</v>
      </c>
      <c r="B9">
        <v>1.2452000000000001</v>
      </c>
      <c r="C9">
        <v>1.8192999999999999</v>
      </c>
      <c r="D9">
        <v>3.5505</v>
      </c>
      <c r="E9">
        <v>4.2382</v>
      </c>
      <c r="F9">
        <v>4.5770999999999997</v>
      </c>
      <c r="G9">
        <v>4.1835000000000004</v>
      </c>
      <c r="H9">
        <v>3.8544999999999998</v>
      </c>
      <c r="I9">
        <v>0.14580000000000001</v>
      </c>
      <c r="J9">
        <v>2.8999999999999998E-3</v>
      </c>
      <c r="K9">
        <v>1E-4</v>
      </c>
      <c r="L9">
        <f t="shared" si="0"/>
        <v>23.617100000000001</v>
      </c>
    </row>
    <row r="11" spans="1:12" x14ac:dyDescent="0.3">
      <c r="A11" t="s">
        <v>11</v>
      </c>
      <c r="B11">
        <v>1.5144</v>
      </c>
      <c r="C11">
        <v>2.6705999999999999</v>
      </c>
      <c r="D11">
        <v>5.0494000000000003</v>
      </c>
      <c r="E11">
        <v>6.3109000000000002</v>
      </c>
      <c r="F11">
        <v>7.1329000000000002</v>
      </c>
      <c r="G11">
        <v>6.4139999999999997</v>
      </c>
      <c r="H11">
        <v>4.7298</v>
      </c>
      <c r="I11">
        <v>0.18859999999999999</v>
      </c>
      <c r="J11">
        <v>3.5999999999999999E-3</v>
      </c>
      <c r="K11">
        <v>2.0000000000000001E-4</v>
      </c>
      <c r="L11">
        <f t="shared" si="0"/>
        <v>34.014399999999995</v>
      </c>
    </row>
    <row r="12" spans="1:12" x14ac:dyDescent="0.3">
      <c r="A12" t="s">
        <v>12</v>
      </c>
      <c r="B12">
        <v>1.5052000000000001</v>
      </c>
      <c r="C12">
        <v>2.6070000000000002</v>
      </c>
      <c r="D12">
        <v>5.1363000000000003</v>
      </c>
      <c r="E12">
        <v>6.2758000000000003</v>
      </c>
      <c r="F12">
        <v>7.1611000000000002</v>
      </c>
      <c r="G12">
        <v>6.2584</v>
      </c>
      <c r="H12">
        <v>4.7496999999999998</v>
      </c>
      <c r="I12">
        <v>0.19189999999999999</v>
      </c>
      <c r="J12">
        <v>5.1000000000000004E-3</v>
      </c>
      <c r="K12">
        <v>0</v>
      </c>
      <c r="L12">
        <f t="shared" si="0"/>
        <v>33.890499999999996</v>
      </c>
    </row>
    <row r="13" spans="1:12" x14ac:dyDescent="0.3">
      <c r="A13" t="s">
        <v>13</v>
      </c>
      <c r="B13">
        <v>1.6033999999999999</v>
      </c>
      <c r="C13">
        <v>2.7145000000000001</v>
      </c>
      <c r="D13">
        <v>5.0438000000000001</v>
      </c>
      <c r="E13">
        <v>6.3867000000000003</v>
      </c>
      <c r="F13">
        <v>7.0800999999999998</v>
      </c>
      <c r="G13">
        <v>6.3296999999999999</v>
      </c>
      <c r="H13">
        <v>4.7850000000000001</v>
      </c>
      <c r="I13">
        <v>0.18790000000000001</v>
      </c>
      <c r="J13">
        <v>3.8999999999999998E-3</v>
      </c>
      <c r="K13">
        <v>0</v>
      </c>
      <c r="L13">
        <f t="shared" si="0"/>
        <v>34.134999999999998</v>
      </c>
    </row>
    <row r="14" spans="1:12" x14ac:dyDescent="0.3">
      <c r="A14" t="s">
        <v>14</v>
      </c>
      <c r="B14">
        <v>1.5918000000000001</v>
      </c>
      <c r="C14">
        <v>2.8559000000000001</v>
      </c>
      <c r="D14">
        <v>5.1985999999999999</v>
      </c>
      <c r="E14">
        <v>6.3201999999999998</v>
      </c>
      <c r="F14">
        <v>7.0373000000000001</v>
      </c>
      <c r="G14">
        <v>6.4329000000000001</v>
      </c>
      <c r="H14">
        <v>4.6776</v>
      </c>
      <c r="I14">
        <v>0.18010000000000001</v>
      </c>
      <c r="J14">
        <v>4.4999999999999997E-3</v>
      </c>
      <c r="K14">
        <v>2.0000000000000001E-4</v>
      </c>
      <c r="L14">
        <f t="shared" si="0"/>
        <v>34.299100000000003</v>
      </c>
    </row>
    <row r="15" spans="1:12" x14ac:dyDescent="0.3">
      <c r="A15" t="s">
        <v>15</v>
      </c>
      <c r="B15">
        <v>1.4500999999999999</v>
      </c>
      <c r="C15">
        <v>2.3026</v>
      </c>
      <c r="D15">
        <v>4.7760999999999996</v>
      </c>
      <c r="E15">
        <v>5.9001999999999999</v>
      </c>
      <c r="F15">
        <v>6.9934000000000003</v>
      </c>
      <c r="G15">
        <v>6.3212999999999999</v>
      </c>
      <c r="H15">
        <v>4.9579000000000004</v>
      </c>
      <c r="I15">
        <v>0.22170000000000001</v>
      </c>
      <c r="J15">
        <v>3.7000000000000002E-3</v>
      </c>
      <c r="K15">
        <v>2.0000000000000001E-4</v>
      </c>
      <c r="L15">
        <f t="shared" si="0"/>
        <v>32.927199999999999</v>
      </c>
    </row>
    <row r="16" spans="1:12" x14ac:dyDescent="0.3">
      <c r="A16" t="s">
        <v>16</v>
      </c>
      <c r="B16">
        <v>1.4796</v>
      </c>
      <c r="C16">
        <v>2.6331000000000002</v>
      </c>
      <c r="D16">
        <v>5.1843000000000004</v>
      </c>
      <c r="E16">
        <v>6.4832999999999998</v>
      </c>
      <c r="F16">
        <v>7.0635000000000003</v>
      </c>
      <c r="G16">
        <v>6.1928999999999998</v>
      </c>
      <c r="H16">
        <v>4.8705999999999996</v>
      </c>
      <c r="I16">
        <v>0.1898</v>
      </c>
      <c r="J16">
        <v>4.0000000000000001E-3</v>
      </c>
      <c r="K16">
        <v>0</v>
      </c>
      <c r="L16">
        <f t="shared" si="0"/>
        <v>34.101100000000002</v>
      </c>
    </row>
    <row r="17" spans="1:12" x14ac:dyDescent="0.3">
      <c r="A17" t="s">
        <v>17</v>
      </c>
      <c r="B17">
        <v>1.5126999999999999</v>
      </c>
      <c r="C17">
        <v>2.7202999999999999</v>
      </c>
      <c r="D17">
        <v>5.1212</v>
      </c>
      <c r="E17">
        <v>6.5175999999999998</v>
      </c>
      <c r="F17">
        <v>7.1543999999999999</v>
      </c>
      <c r="G17">
        <v>6.2026000000000003</v>
      </c>
      <c r="H17">
        <v>4.5944000000000003</v>
      </c>
      <c r="I17">
        <v>0.18179999999999999</v>
      </c>
      <c r="J17">
        <v>2.7000000000000001E-3</v>
      </c>
      <c r="K17">
        <v>0</v>
      </c>
      <c r="L17">
        <f t="shared" si="0"/>
        <v>34.0077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191F15-8B52-4804-9E5B-4216A40E04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e98822-f433-4c96-8830-5cb2d7491f7d"/>
    <ds:schemaRef ds:uri="adc125f1-7df9-46f4-a9a7-022dd426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C63629-1D5E-49FE-AF3E-A7BFE050CE1F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customXml/itemProps3.xml><?xml version="1.0" encoding="utf-8"?>
<ds:datastoreItem xmlns:ds="http://schemas.openxmlformats.org/officeDocument/2006/customXml" ds:itemID="{E93AF508-606E-42F3-9740-364687CDC2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Proportion_patients by severity</vt:lpstr>
      <vt:lpstr>patient_time_ by severity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Ayman Sadek</cp:lastModifiedBy>
  <cp:revision/>
  <dcterms:created xsi:type="dcterms:W3CDTF">2025-04-08T11:25:52Z</dcterms:created>
  <dcterms:modified xsi:type="dcterms:W3CDTF">2025-04-11T09:57:20Z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