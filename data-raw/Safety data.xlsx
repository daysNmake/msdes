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xr:revisionPtr revIDLastSave="0" documentId="8_{406CBE9A-FD34-4E9E-8B3D-FE1E810D5BAD}" xr6:coauthVersionLast="47" xr6:coauthVersionMax="47" xr10:uidLastSave="{00000000-0000-0000-0000-000000000000}"/>
  <bookViews>
    <workbookView xWindow="32775" yWindow="-15135" windowWidth="17280" windowHeight="11730" xr2:uid="{00000000-000D-0000-FFFF-FFFF00000000}"/>
  </bookViews>
  <sheets>
    <sheet name="Sheet 1" sheetId="1" r:id="rId1"/>
  </sheets>
  <definedNames>
    <definedName name="_xlnm._FilterDatabase" localSheetId="0" hidden="1">'Sheet 1'!$A$1:$V$87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2" i="1" l="1"/>
  <c r="T23" i="1"/>
  <c r="T75" i="1"/>
  <c r="U75" i="1" s="1"/>
  <c r="T74" i="1"/>
  <c r="U74" i="1" s="1"/>
  <c r="T51" i="1"/>
  <c r="T31" i="1"/>
  <c r="U31" i="1" s="1"/>
  <c r="T32" i="1"/>
  <c r="U32" i="1" s="1"/>
  <c r="T52" i="1"/>
  <c r="T15" i="1"/>
  <c r="T49" i="1"/>
  <c r="T58" i="1"/>
  <c r="U58" i="1" s="1"/>
  <c r="T4" i="1"/>
  <c r="T14" i="1"/>
  <c r="T28" i="1"/>
  <c r="T61" i="1"/>
  <c r="T64" i="1"/>
  <c r="T34" i="1"/>
  <c r="T33" i="1"/>
  <c r="T80" i="1"/>
  <c r="T57" i="1"/>
  <c r="U57" i="1" s="1"/>
  <c r="T46" i="1"/>
  <c r="T27" i="1"/>
  <c r="T47" i="1"/>
  <c r="T63" i="1"/>
  <c r="T62" i="1"/>
  <c r="T24" i="1"/>
  <c r="T87" i="1"/>
  <c r="T59" i="1"/>
  <c r="U59" i="1" s="1"/>
  <c r="T10" i="1"/>
  <c r="T11" i="1"/>
  <c r="T44" i="1"/>
  <c r="T86" i="1"/>
  <c r="T45" i="1"/>
  <c r="T12" i="1"/>
  <c r="T13" i="1"/>
  <c r="T81" i="1"/>
  <c r="T2" i="1"/>
  <c r="U2" i="1" s="1"/>
  <c r="T78" i="1"/>
  <c r="T50" i="1"/>
  <c r="T3" i="1"/>
  <c r="U3" i="1" s="1"/>
  <c r="T65" i="1"/>
  <c r="T66" i="1"/>
  <c r="T79" i="1"/>
  <c r="T5" i="1"/>
  <c r="T48" i="1"/>
  <c r="T53" i="1"/>
  <c r="T68" i="1"/>
  <c r="U68" i="1" s="1"/>
  <c r="T67" i="1"/>
  <c r="U67" i="1"/>
  <c r="T70" i="1"/>
  <c r="T69" i="1"/>
  <c r="T77" i="1"/>
  <c r="U77" i="1" s="1"/>
  <c r="T76" i="1"/>
  <c r="U76" i="1" s="1"/>
  <c r="T8" i="1"/>
  <c r="U8" i="1" s="1"/>
  <c r="T9" i="1"/>
  <c r="U9" i="1" s="1"/>
  <c r="T16" i="1"/>
  <c r="T17" i="1"/>
  <c r="T40" i="1"/>
  <c r="T41" i="1"/>
  <c r="T36" i="1"/>
  <c r="T35" i="1"/>
  <c r="T82" i="1"/>
  <c r="T83" i="1"/>
  <c r="T55" i="1"/>
  <c r="T54" i="1"/>
  <c r="T6" i="1"/>
  <c r="T7" i="1"/>
  <c r="T18" i="1"/>
  <c r="T19" i="1"/>
  <c r="T20" i="1"/>
  <c r="T25" i="1"/>
  <c r="T26" i="1"/>
  <c r="T29" i="1"/>
  <c r="T30" i="1"/>
  <c r="T37" i="1"/>
  <c r="T39" i="1"/>
  <c r="T38" i="1"/>
  <c r="T43" i="1"/>
  <c r="T42" i="1"/>
  <c r="T56" i="1"/>
  <c r="T60" i="1"/>
  <c r="T71" i="1"/>
  <c r="T72" i="1"/>
  <c r="T73" i="1"/>
  <c r="T85" i="1"/>
  <c r="T84" i="1"/>
  <c r="P22" i="1"/>
  <c r="Q22" i="1" s="1"/>
  <c r="P23" i="1"/>
  <c r="Q23" i="1" s="1"/>
  <c r="P75" i="1"/>
  <c r="Q75" i="1" s="1"/>
  <c r="P74" i="1"/>
  <c r="Q74" i="1" s="1"/>
  <c r="P51" i="1"/>
  <c r="Q51" i="1" s="1"/>
  <c r="P31" i="1"/>
  <c r="Q31" i="1" s="1"/>
  <c r="P32" i="1"/>
  <c r="Q32" i="1" s="1"/>
  <c r="P52" i="1"/>
  <c r="Q52" i="1" s="1"/>
  <c r="P15" i="1"/>
  <c r="Q15" i="1" s="1"/>
  <c r="P49" i="1"/>
  <c r="Q49" i="1" s="1"/>
  <c r="P58" i="1"/>
  <c r="Q58" i="1" s="1"/>
  <c r="P4" i="1"/>
  <c r="Q4" i="1" s="1"/>
  <c r="P14" i="1"/>
  <c r="Q14" i="1" s="1"/>
  <c r="P28" i="1"/>
  <c r="Q28" i="1" s="1"/>
  <c r="P61" i="1"/>
  <c r="P64" i="1"/>
  <c r="P34" i="1"/>
  <c r="P33" i="1"/>
  <c r="P80" i="1"/>
  <c r="Q80" i="1" s="1"/>
  <c r="P57" i="1"/>
  <c r="Q57" i="1" s="1"/>
  <c r="P46" i="1"/>
  <c r="Q46" i="1" s="1"/>
  <c r="P27" i="1"/>
  <c r="Q27" i="1" s="1"/>
  <c r="P47" i="1"/>
  <c r="Q47" i="1" s="1"/>
  <c r="P63" i="1"/>
  <c r="P62" i="1"/>
  <c r="P24" i="1"/>
  <c r="Q24" i="1" s="1"/>
  <c r="P87" i="1"/>
  <c r="Q87" i="1" s="1"/>
  <c r="P59" i="1"/>
  <c r="Q59" i="1" s="1"/>
  <c r="P10" i="1"/>
  <c r="Q10" i="1" s="1"/>
  <c r="P11" i="1"/>
  <c r="Q11" i="1" s="1"/>
  <c r="P44" i="1"/>
  <c r="Q44" i="1" s="1"/>
  <c r="P86" i="1"/>
  <c r="Q86" i="1" s="1"/>
  <c r="P45" i="1"/>
  <c r="Q45" i="1" s="1"/>
  <c r="P12" i="1"/>
  <c r="Q12" i="1" s="1"/>
  <c r="P13" i="1"/>
  <c r="Q13" i="1" s="1"/>
  <c r="P81" i="1"/>
  <c r="Q81" i="1" s="1"/>
  <c r="P2" i="1"/>
  <c r="Q2" i="1" s="1"/>
  <c r="P78" i="1"/>
  <c r="Q78" i="1" s="1"/>
  <c r="P50" i="1"/>
  <c r="Q50" i="1" s="1"/>
  <c r="P3" i="1"/>
  <c r="Q3" i="1" s="1"/>
  <c r="P65" i="1"/>
  <c r="Q65" i="1" s="1"/>
  <c r="P66" i="1"/>
  <c r="Q66" i="1" s="1"/>
  <c r="P79" i="1"/>
  <c r="Q79" i="1" s="1"/>
  <c r="P5" i="1"/>
  <c r="Q5" i="1" s="1"/>
  <c r="P48" i="1"/>
  <c r="Q48" i="1" s="1"/>
  <c r="P53" i="1"/>
  <c r="Q53" i="1" s="1"/>
  <c r="P68" i="1"/>
  <c r="P67" i="1"/>
  <c r="P70" i="1"/>
  <c r="P69" i="1"/>
  <c r="P77" i="1"/>
  <c r="Q77" i="1" s="1"/>
  <c r="P76" i="1"/>
  <c r="Q76" i="1" s="1"/>
  <c r="P8" i="1"/>
  <c r="P9" i="1"/>
  <c r="P16" i="1"/>
  <c r="Q16" i="1" s="1"/>
  <c r="P17" i="1"/>
  <c r="Q17" i="1" s="1"/>
  <c r="P40" i="1"/>
  <c r="Q40" i="1" s="1"/>
  <c r="P41" i="1"/>
  <c r="Q41" i="1" s="1"/>
  <c r="P36" i="1"/>
  <c r="Q36" i="1" s="1"/>
  <c r="P35" i="1"/>
  <c r="Q35" i="1" s="1"/>
  <c r="P82" i="1"/>
  <c r="Q82" i="1" s="1"/>
  <c r="P83" i="1"/>
  <c r="Q83" i="1" s="1"/>
  <c r="P55" i="1"/>
  <c r="P54" i="1"/>
  <c r="P6" i="1"/>
  <c r="P7" i="1"/>
  <c r="P18" i="1"/>
  <c r="P19" i="1"/>
  <c r="P20" i="1"/>
  <c r="P25" i="1"/>
  <c r="P26" i="1"/>
  <c r="P29" i="1"/>
  <c r="P30" i="1"/>
  <c r="P37" i="1"/>
  <c r="P39" i="1"/>
  <c r="Q39" i="1" s="1"/>
  <c r="P38" i="1"/>
  <c r="Q38" i="1" s="1"/>
  <c r="P43" i="1"/>
  <c r="Q43" i="1" s="1"/>
  <c r="P42" i="1"/>
  <c r="Q42" i="1" s="1"/>
  <c r="P56" i="1"/>
  <c r="P60" i="1"/>
  <c r="P71" i="1"/>
  <c r="P72" i="1"/>
  <c r="P73" i="1"/>
  <c r="P85" i="1"/>
  <c r="Q85" i="1" s="1"/>
  <c r="P84" i="1"/>
  <c r="Q84" i="1" s="1"/>
  <c r="T21" i="1"/>
  <c r="P21" i="1"/>
  <c r="Q21" i="1" s="1"/>
  <c r="L22" i="1"/>
  <c r="M22" i="1" s="1"/>
  <c r="L23" i="1"/>
  <c r="M23" i="1" s="1"/>
  <c r="L75" i="1"/>
  <c r="M75" i="1" s="1"/>
  <c r="L74" i="1"/>
  <c r="M74" i="1" s="1"/>
  <c r="L51" i="1"/>
  <c r="M51" i="1" s="1"/>
  <c r="L31" i="1"/>
  <c r="M31" i="1" s="1"/>
  <c r="L32" i="1"/>
  <c r="M32" i="1" s="1"/>
  <c r="L52" i="1"/>
  <c r="M52" i="1" s="1"/>
  <c r="L15" i="1"/>
  <c r="M15" i="1" s="1"/>
  <c r="L49" i="1"/>
  <c r="M49" i="1" s="1"/>
  <c r="L58" i="1"/>
  <c r="M58" i="1" s="1"/>
  <c r="L4" i="1"/>
  <c r="M4" i="1" s="1"/>
  <c r="L14" i="1"/>
  <c r="M14" i="1" s="1"/>
  <c r="L28" i="1"/>
  <c r="L61" i="1"/>
  <c r="M61" i="1" s="1"/>
  <c r="L64" i="1"/>
  <c r="M64" i="1" s="1"/>
  <c r="L34" i="1"/>
  <c r="M34" i="1" s="1"/>
  <c r="L33" i="1"/>
  <c r="M33" i="1" s="1"/>
  <c r="L80" i="1"/>
  <c r="M80" i="1" s="1"/>
  <c r="L57" i="1"/>
  <c r="M57" i="1" s="1"/>
  <c r="L46" i="1"/>
  <c r="M46" i="1" s="1"/>
  <c r="L27" i="1"/>
  <c r="L47" i="1"/>
  <c r="M47" i="1" s="1"/>
  <c r="L63" i="1"/>
  <c r="M63" i="1" s="1"/>
  <c r="L62" i="1"/>
  <c r="M62" i="1" s="1"/>
  <c r="L24" i="1"/>
  <c r="M24" i="1" s="1"/>
  <c r="L87" i="1"/>
  <c r="M87" i="1" s="1"/>
  <c r="L59" i="1"/>
  <c r="M59" i="1" s="1"/>
  <c r="L10" i="1"/>
  <c r="M10" i="1" s="1"/>
  <c r="L11" i="1"/>
  <c r="M11" i="1" s="1"/>
  <c r="L44" i="1"/>
  <c r="M44" i="1" s="1"/>
  <c r="L86" i="1"/>
  <c r="M86" i="1" s="1"/>
  <c r="L45" i="1"/>
  <c r="M45" i="1" s="1"/>
  <c r="L12" i="1"/>
  <c r="M12" i="1" s="1"/>
  <c r="L13" i="1"/>
  <c r="M13" i="1" s="1"/>
  <c r="L81" i="1"/>
  <c r="M81" i="1" s="1"/>
  <c r="L2" i="1"/>
  <c r="M2" i="1" s="1"/>
  <c r="L78" i="1"/>
  <c r="M78" i="1" s="1"/>
  <c r="L50" i="1"/>
  <c r="M50" i="1" s="1"/>
  <c r="L3" i="1"/>
  <c r="M3" i="1" s="1"/>
  <c r="L65" i="1"/>
  <c r="M65" i="1" s="1"/>
  <c r="L66" i="1"/>
  <c r="M66" i="1" s="1"/>
  <c r="L79" i="1"/>
  <c r="M79" i="1" s="1"/>
  <c r="L5" i="1"/>
  <c r="M5" i="1" s="1"/>
  <c r="L48" i="1"/>
  <c r="M48" i="1" s="1"/>
  <c r="L53" i="1"/>
  <c r="M53" i="1" s="1"/>
  <c r="L68" i="1"/>
  <c r="M68" i="1" s="1"/>
  <c r="L67" i="1"/>
  <c r="M67" i="1" s="1"/>
  <c r="L70" i="1"/>
  <c r="M70" i="1" s="1"/>
  <c r="L69" i="1"/>
  <c r="M69" i="1" s="1"/>
  <c r="L77" i="1"/>
  <c r="M77" i="1" s="1"/>
  <c r="L76" i="1"/>
  <c r="M76" i="1" s="1"/>
  <c r="L8" i="1"/>
  <c r="M8" i="1" s="1"/>
  <c r="L9" i="1"/>
  <c r="M9" i="1" s="1"/>
  <c r="L16" i="1"/>
  <c r="M16" i="1" s="1"/>
  <c r="L17" i="1"/>
  <c r="M17" i="1" s="1"/>
  <c r="L40" i="1"/>
  <c r="M40" i="1" s="1"/>
  <c r="L41" i="1"/>
  <c r="M41" i="1" s="1"/>
  <c r="L36" i="1"/>
  <c r="L35" i="1"/>
  <c r="L82" i="1"/>
  <c r="L83" i="1"/>
  <c r="L55" i="1"/>
  <c r="M55" i="1" s="1"/>
  <c r="L54" i="1"/>
  <c r="M54" i="1" s="1"/>
  <c r="L6" i="1"/>
  <c r="L7" i="1"/>
  <c r="L18" i="1"/>
  <c r="L19" i="1"/>
  <c r="L20" i="1"/>
  <c r="L25" i="1"/>
  <c r="L26" i="1"/>
  <c r="L29" i="1"/>
  <c r="M29" i="1" s="1"/>
  <c r="L30" i="1"/>
  <c r="M30" i="1" s="1"/>
  <c r="L37" i="1"/>
  <c r="L39" i="1"/>
  <c r="M39" i="1" s="1"/>
  <c r="L38" i="1"/>
  <c r="M38" i="1" s="1"/>
  <c r="L43" i="1"/>
  <c r="L42" i="1"/>
  <c r="L56" i="1"/>
  <c r="L60" i="1"/>
  <c r="L71" i="1"/>
  <c r="L72" i="1"/>
  <c r="L73" i="1"/>
  <c r="L85" i="1"/>
  <c r="L84" i="1"/>
  <c r="L21" i="1"/>
  <c r="M21" i="1" s="1"/>
  <c r="F22" i="1"/>
  <c r="G22" i="1" s="1"/>
  <c r="F23" i="1"/>
  <c r="G23" i="1" s="1"/>
  <c r="F75" i="1"/>
  <c r="G75" i="1" s="1"/>
  <c r="F74" i="1"/>
  <c r="G74" i="1" s="1"/>
  <c r="F51" i="1"/>
  <c r="G51" i="1" s="1"/>
  <c r="F31" i="1"/>
  <c r="G31" i="1" s="1"/>
  <c r="F32" i="1"/>
  <c r="G32" i="1" s="1"/>
  <c r="F52" i="1"/>
  <c r="G52" i="1" s="1"/>
  <c r="F15" i="1"/>
  <c r="G15" i="1" s="1"/>
  <c r="F49" i="1"/>
  <c r="G49" i="1" s="1"/>
  <c r="F58" i="1"/>
  <c r="G58" i="1" s="1"/>
  <c r="F4" i="1"/>
  <c r="G4" i="1" s="1"/>
  <c r="F14" i="1"/>
  <c r="G14" i="1" s="1"/>
  <c r="F28" i="1"/>
  <c r="G28" i="1" s="1"/>
  <c r="F61" i="1"/>
  <c r="G61" i="1" s="1"/>
  <c r="F64" i="1"/>
  <c r="G64" i="1" s="1"/>
  <c r="F34" i="1"/>
  <c r="G34" i="1" s="1"/>
  <c r="F33" i="1"/>
  <c r="G33" i="1" s="1"/>
  <c r="F80" i="1"/>
  <c r="G80" i="1" s="1"/>
  <c r="F57" i="1"/>
  <c r="G57" i="1" s="1"/>
  <c r="F46" i="1"/>
  <c r="G46" i="1" s="1"/>
  <c r="F27" i="1"/>
  <c r="G27" i="1" s="1"/>
  <c r="F47" i="1"/>
  <c r="G47" i="1" s="1"/>
  <c r="F63" i="1"/>
  <c r="G63" i="1" s="1"/>
  <c r="F62" i="1"/>
  <c r="G62" i="1" s="1"/>
  <c r="F24" i="1"/>
  <c r="G24" i="1" s="1"/>
  <c r="F87" i="1"/>
  <c r="G87" i="1" s="1"/>
  <c r="F59" i="1"/>
  <c r="G59" i="1" s="1"/>
  <c r="F10" i="1"/>
  <c r="G10" i="1" s="1"/>
  <c r="F11" i="1"/>
  <c r="G11" i="1" s="1"/>
  <c r="F44" i="1"/>
  <c r="G44" i="1" s="1"/>
  <c r="F86" i="1"/>
  <c r="G86" i="1" s="1"/>
  <c r="F45" i="1"/>
  <c r="G45" i="1" s="1"/>
  <c r="F12" i="1"/>
  <c r="G12" i="1" s="1"/>
  <c r="F13" i="1"/>
  <c r="G13" i="1" s="1"/>
  <c r="F81" i="1"/>
  <c r="G81" i="1" s="1"/>
  <c r="F2" i="1"/>
  <c r="G2" i="1" s="1"/>
  <c r="F78" i="1"/>
  <c r="G78" i="1" s="1"/>
  <c r="F50" i="1"/>
  <c r="G50" i="1" s="1"/>
  <c r="F3" i="1"/>
  <c r="G3" i="1" s="1"/>
  <c r="F65" i="1"/>
  <c r="G65" i="1" s="1"/>
  <c r="F66" i="1"/>
  <c r="G66" i="1" s="1"/>
  <c r="F79" i="1"/>
  <c r="G79" i="1" s="1"/>
  <c r="F5" i="1"/>
  <c r="G5" i="1" s="1"/>
  <c r="F48" i="1"/>
  <c r="G48" i="1" s="1"/>
  <c r="F53" i="1"/>
  <c r="G53" i="1" s="1"/>
  <c r="F68" i="1"/>
  <c r="G68" i="1" s="1"/>
  <c r="F67" i="1"/>
  <c r="G67" i="1" s="1"/>
  <c r="F70" i="1"/>
  <c r="G70" i="1" s="1"/>
  <c r="F69" i="1"/>
  <c r="G69" i="1" s="1"/>
  <c r="F21" i="1"/>
  <c r="G21" i="1" s="1"/>
  <c r="F77" i="1"/>
  <c r="F76" i="1"/>
  <c r="F8" i="1"/>
  <c r="F9" i="1"/>
  <c r="F16" i="1"/>
  <c r="F17" i="1"/>
  <c r="F40" i="1"/>
  <c r="F41" i="1"/>
  <c r="F36" i="1"/>
  <c r="F35" i="1"/>
  <c r="F82" i="1"/>
  <c r="F83" i="1"/>
  <c r="F55" i="1"/>
  <c r="F54" i="1"/>
  <c r="F6" i="1"/>
  <c r="F7" i="1"/>
  <c r="F18" i="1"/>
  <c r="F19" i="1"/>
  <c r="F20" i="1"/>
  <c r="F25" i="1"/>
  <c r="F26" i="1"/>
  <c r="F29" i="1"/>
  <c r="F30" i="1"/>
  <c r="F37" i="1"/>
  <c r="F39" i="1"/>
  <c r="F38" i="1"/>
  <c r="F43" i="1"/>
  <c r="F42" i="1"/>
  <c r="F56" i="1"/>
  <c r="F60" i="1"/>
  <c r="F71" i="1"/>
  <c r="F72" i="1"/>
  <c r="F73" i="1"/>
  <c r="F85" i="1"/>
  <c r="F84" i="1"/>
</calcChain>
</file>

<file path=xl/sharedStrings.xml><?xml version="1.0" encoding="utf-8"?>
<sst xmlns="http://schemas.openxmlformats.org/spreadsheetml/2006/main" count="522" uniqueCount="112">
  <si>
    <t>Study Name</t>
  </si>
  <si>
    <t>Any AEs: Time point reported (Months)</t>
  </si>
  <si>
    <t>Any AEs: N</t>
  </si>
  <si>
    <t>Any AEs: Mortality</t>
  </si>
  <si>
    <t>Any AEs: PML</t>
  </si>
  <si>
    <t>Serious AE: N</t>
  </si>
  <si>
    <t>Treatment discontinuation: N</t>
  </si>
  <si>
    <t>RRMS-AdverseEvents</t>
  </si>
  <si>
    <t>TRAEs: N</t>
  </si>
  <si>
    <t>MIST</t>
  </si>
  <si>
    <t>REVEAL</t>
  </si>
  <si>
    <t>Natalizumab IV300</t>
  </si>
  <si>
    <t>NR</t>
  </si>
  <si>
    <t>Fingolimod O0.5</t>
  </si>
  <si>
    <t>headache, ms relapse, hypoesthesia, migraine, uper respiratory tract infection, urinary tract infection, lymphocyte count decreased, alanine aminotransferase increased, anxiety, fatigue, oropharyngeal pain,</t>
  </si>
  <si>
    <t>Calabrese 2012</t>
  </si>
  <si>
    <t>Interferon beta 1a SC44</t>
  </si>
  <si>
    <t>Interferon beta 1a IM30</t>
  </si>
  <si>
    <t>Glatiramer acetate SC20</t>
  </si>
  <si>
    <t>ADVANCE</t>
  </si>
  <si>
    <t>Placebo</t>
  </si>
  <si>
    <t>injection site erythema, influenza like illness, pyrexia, headache, multiple sclerosis relapse, myalgia, chills, injection site pain, asthenia, back pain, injection site pruritus, nasopharyngitis, arthralgia, fatigue, pain in extremity</t>
  </si>
  <si>
    <t>Peginterferon beta 1a SC125</t>
  </si>
  <si>
    <t>FREEDOMS II</t>
  </si>
  <si>
    <t>GATE</t>
  </si>
  <si>
    <t>injection site reaction, immediatee postinjection reaction, headaches, injection site swelling, nasopharyngitis, injection site pain</t>
  </si>
  <si>
    <t>TRANSFORMS</t>
  </si>
  <si>
    <t xml:space="preserve">nasopharyngitis, upper respiratory tract infection, influenza, urinary tract infinfectionectino, herpesvirus infection, headache, dizziness, fatigue, pyrexia, influenza-like illndiarrhoeaess, diarrhea, nausea, back pain, limb pain, arthralgia, myalgia, cough, dyspnea, melanocytic nevus, depression, hypertension, abnormal laboratory values, </t>
  </si>
  <si>
    <t>CARE-MS I</t>
  </si>
  <si>
    <t xml:space="preserve">Headache, rash, pyrexia, nausea, urticaria, fluhing, chills, </t>
  </si>
  <si>
    <t>Alemtuzumab IV12</t>
  </si>
  <si>
    <t>CAMMS223</t>
  </si>
  <si>
    <t>Infusion-associated reaction, Bradycardia, Hypertension, Rash, Headache, Pruritus, Fatigue, Pyrexia, Nausea, Neurologic event, Chills, Insomnia, Dyspnea, Musculoskeletal discomfort, Dysgeusia, Flushing, Injection-site reaction, Abnormal liver function test, Liver toxicity, Hepatic failure, Infections-associated event, Gastroenteritis, Bronchitis, Cellulitis, Cervicitis, Meningitis, Viral infection, Urinary tract infection, Varicella, Appendicitis, Cervical intraepithelial neoplasia, Serious adverse event (infections), Lower respiratory tract infection, Upper respiratory tract infection, Influenza, Vaginitis, Herpes zoster, Autoimmune-associated event, Thyroid-associated event, Hyperthyroidism, Hypothyroidism, Thyroiditis, Goiter, Thyroid cyst, Immune thrombocytopenic purpura, Other events affecting &gt;10% of patients in any group, Fatigue, Insomnia, Influenza-like illness, Weight increase, Constipation, Rash, Neurologic symptom, Headache, Dysgeusia, Gastrointestinal condition, Nausea, Diarrhea, Abdominal pain, Musculoskeletal pain, Arthralgia, Back pain, Psychiatric condition, Depression, Menstrual disorder in women.</t>
  </si>
  <si>
    <t>CARE-MS II</t>
  </si>
  <si>
    <t>European/Canadian glatiramer acetate study group</t>
  </si>
  <si>
    <t>Mostly injection site reactions</t>
  </si>
  <si>
    <t>GOLDEN</t>
  </si>
  <si>
    <t>Blood and lymphatic system disorders, eye disorders, gastrointestinal disorders, general disorders and administration site conditions, infections and infestations, injury, poisoning, and procedural complications, investigations, metabolism and nutrition disorders, musculoskeletal and connective tissue disoirders, nervous system disorders, psychiatric disorders, renal and urinary disorders, respiratory, thoracic and meidastinal disorders, skin and subcutaneous tissue disorders, vascular disorders</t>
  </si>
  <si>
    <t>Interferon beta 1b IM 250</t>
  </si>
  <si>
    <t>ASSESS</t>
  </si>
  <si>
    <t>Headache, fatigue, urinary tract infection, upper respiratory tract infection, hypertension, nausea, pain in extremity, depression, lymphopenia, nasopharyngitis, diarrhea, increase in alanine aminotransferase level, back pain, dyspnea, decrease in lymphocyte count, sinusitis, artralgia, cough, increase in alfa glutamyltransferase level, muscle spasm, paresthesia, vision blurred, anxiety, increase in hapatic enzymes, influenza, alopecia, bronchitis, dizziness, hypoesthesia, insomnia, oropharyngeal pain, migraine, vomiting, fall, muscular weakness, vertigo, constipatin, dry eye, eye pain, injection site effects</t>
  </si>
  <si>
    <t>CONFIDENCE</t>
  </si>
  <si>
    <t>Glatiramer acetate SC40</t>
  </si>
  <si>
    <t>AE occurring in at least 3% in either group: Injection-site pain; Injection-site erythema; Injection-site pruritus; Injection-site swelling; Injection-site hemorrhage; Injection-site bruising; Headache; Dyspnea</t>
  </si>
  <si>
    <t>IMPROVE</t>
  </si>
  <si>
    <t>The IFNB Multiple Sclerosis Study Group</t>
  </si>
  <si>
    <t>INCOMIN</t>
  </si>
  <si>
    <t>Flu-like syndrome, fever, headache, injection site reactions, fatigue, myalgia, spasticity, depression, leucopenia, increased liver enzymes, altered thyroid function</t>
  </si>
  <si>
    <t>PRISMS</t>
  </si>
  <si>
    <t>headache, influenza like symptoms, injection site reactions, fatigue, myalgia, fever</t>
  </si>
  <si>
    <t>Interferon beta 1a SC22</t>
  </si>
  <si>
    <t>Etemedifar 2006</t>
  </si>
  <si>
    <t>CONFIRM</t>
  </si>
  <si>
    <t>Relpase, flushing, nasopharyngitis, headache, diarrhea, urinary tract infection, nausea, upper respiratory tract infection, back pain, fatigue, upper abdominal pain, proteinuria, depression</t>
  </si>
  <si>
    <t>ASCLEPIOS II</t>
  </si>
  <si>
    <t>Ofatumumab SC20</t>
  </si>
  <si>
    <t>Teriflunomide O14</t>
  </si>
  <si>
    <t>Infection, injection related systemic reaction, neoplasms, death</t>
  </si>
  <si>
    <t>CLARITY</t>
  </si>
  <si>
    <t>Headache, lymphocytopenia, nasopharyngitis, upper respiratory tract infection, nausea</t>
  </si>
  <si>
    <t>Cladribine O3.5</t>
  </si>
  <si>
    <t>ASCLEPIOS I</t>
  </si>
  <si>
    <t>OPERA I/II</t>
  </si>
  <si>
    <t>Ocrelizumab IV600</t>
  </si>
  <si>
    <t>Most frequently reported: infusion related reaction; nasopharyngitis; URTI; headache; UTI; Fatigue; influence like illness; injection site erythema</t>
  </si>
  <si>
    <t>ANTELOPE</t>
  </si>
  <si>
    <t>Natalizumab biosimilar</t>
  </si>
  <si>
    <t>The Multiple Sclerosis Collaborative Research Group</t>
  </si>
  <si>
    <t>More frequently in interferon beta group: flulike symptoms, muscle aches, asthenia, chills, and fever. In both groups: injection site reactions, depression, menstrual symptoms.</t>
  </si>
  <si>
    <t>Copolymer 1 Multiple Sclerosis Study Group</t>
  </si>
  <si>
    <t>Injection site reaction; transient self-limited systemic reaction.</t>
  </si>
  <si>
    <t>OPTIMUM</t>
  </si>
  <si>
    <t>Ponesimod O20</t>
  </si>
  <si>
    <t>Investigations, respiratory, thoracic and mediastinal disorders, eye disorders, gastrointestinal disorders, blood and lymphatic system disorders, general disorders and administratin site conditions, hepatobiliary disorders, pregnancy, puerperium and perinatal conditions, vascular disorders, nervous system disorders, social circumstances, cardiac disorders, skin and subcutaneous tissue disorders</t>
  </si>
  <si>
    <t>Kappos2011</t>
  </si>
  <si>
    <t>Influenza-like illness, headache, urinary tract infection, upper respiratory tract infection, nasopharyngitis, chills, multiple sclerosis relapse, oral herpes</t>
  </si>
  <si>
    <t>FREEDOMS</t>
  </si>
  <si>
    <t>Very lon list - not sure helopful to extract</t>
  </si>
  <si>
    <t>GALA</t>
  </si>
  <si>
    <t>Injection site erythema, nasopharyngitis, injection site pain, headache, systemic immediate postinjection reactions, injection site pruritus, urinary tract infection, upper respiratory tract infections</t>
  </si>
  <si>
    <t>APOLITOS</t>
  </si>
  <si>
    <t>Injection related reaction, nasopharyngitis, oral herpes, tension headache, back pain, injection site reaction, constipation, dental caries, insomnia, neck pain</t>
  </si>
  <si>
    <t>CombiRx</t>
  </si>
  <si>
    <t>AEs reported by &gt;=5%: constipation, diarrhoea, GI upset, nausea/vomiting; fatigue, infection site reaction, insomnia, allergies, bronchitis, cold, cough, flu/flu like symptoms, GI virus, infection, sinusitis, sore throat, URI, UTI, fall, back pain, joing pain/stiffness, cognitive difficutlies, dizziness, extremity pain/soreness/stiffness/weakness, headaches, paresthesias, unspecieif neuropathic symptoms, anxiety/panic attacks, depression, urinary/bladder issues, dental abcess/extraction/procedure/rash/</t>
  </si>
  <si>
    <t>REGARD</t>
  </si>
  <si>
    <t>Most common treatment emergent AEs Table 4; in text reporting of AEs leading to withdrawal</t>
  </si>
  <si>
    <t>BEYOND</t>
  </si>
  <si>
    <t>Unclear</t>
  </si>
  <si>
    <t>Influenza like illness, pyrexia, injection site reactions, headache, fatigue, nasopharyngitis, depression, raised contcentration of alanine aminotransferase and aspartate aminotransferase, arthralgia, influenza, back pain, paraesthesia, usrinary tract infection, insomnia, upper respiratory tract infection, pain in extremity, raised concentration of gamma glutamyltransferase, hypoaesthesia, nausea</t>
  </si>
  <si>
    <t>Ponesimod Phase II study Group</t>
  </si>
  <si>
    <t>table 3</t>
  </si>
  <si>
    <t>EVIDENCE</t>
  </si>
  <si>
    <t>Injection site disorders, influenzalike syndrome, depression, liver function abnormality, white blood cell abnormality, lymphopenia</t>
  </si>
  <si>
    <t>AFFIRM</t>
  </si>
  <si>
    <t>Very long list reported</t>
  </si>
  <si>
    <t>Saida 2012</t>
  </si>
  <si>
    <t>Infections, headaches, dizziness, diarrhoea, constipation, nausea, gastritis, leukopenia, lymphopenia, bradycardia, rash</t>
  </si>
  <si>
    <t>Saida 2017</t>
  </si>
  <si>
    <t>Headache, nasopharyngitis, pharyngitis, cystitis, insomnia, eye strain, eczema, back pain, herpes zoster, PML</t>
  </si>
  <si>
    <t>PEGINTEGRITY</t>
  </si>
  <si>
    <t>most common adverse events: influenza like illness, pain, pyrexia, injection site erythema, asthenia, headache, pain in extremity, alopecia</t>
  </si>
  <si>
    <t>Serious AE: events</t>
  </si>
  <si>
    <t>Treatment discontinuation: events</t>
  </si>
  <si>
    <t>TRAEs: events</t>
  </si>
  <si>
    <t>Intervention</t>
  </si>
  <si>
    <t>Any AEs: events (red total number of events)</t>
  </si>
  <si>
    <t>Prop Any AE</t>
  </si>
  <si>
    <t>Any Aes: n/N (%)</t>
  </si>
  <si>
    <t>SAE %</t>
  </si>
  <si>
    <t>SAEs: n/N (%)</t>
  </si>
  <si>
    <t>Treatment discontinuation</t>
  </si>
  <si>
    <t>TRAE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</si>
</sst>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rgb="FF006100"/>
      <name val="Calibri"/>
      <family val="2"/>
      <scheme val="minor"/>
    </font>
    <font>
      <sz val="11"/>
      <color rgb="FF9C0006"/>
      <name val="Calibri"/>
      <family val="2"/>
      <scheme val="minor"/>
    </font>
  </fonts>
  <fills count="5">
    <fill>
      <patternFill patternType="none"/>
    </fill>
    <fill>
      <patternFill patternType="gray125"/>
    </fill>
    <fill>
      <gradientFill>
        <stop position="0">
          <color rgb="FFD8E7FF"/>
        </stop>
        <stop position="0.5">
          <color rgb="FFFFFFFF"/>
        </stop>
        <stop position="1">
          <color rgb="FFD8E7FF"/>
        </stop>
      </gradientFill>
    </fill>
    <fill>
      <patternFill patternType="solid">
        <fgColor rgb="FFC6EFCE"/>
      </patternFill>
    </fill>
    <fill>
      <patternFill patternType="solid">
        <fgColor rgb="FFFFC7CE"/>
      </patternFill>
    </fill>
  </fills>
  <borders count="1">
    <border>
      <left/>
      <right/>
      <top/>
      <bottom/>
      <diagonal/>
    </border>
  </borders>
  <cellStyleXfs count="3">
    <xf numFmtId="0" fontId="0" fillId="0" borderId="0"/>
    <xf numFmtId="0" fontId="2" fillId="3" borderId="0" applyNumberFormat="0" applyBorder="0" applyAlignment="0" applyProtection="0"/>
    <xf numFmtId="0" fontId="3" fillId="4" borderId="0" applyNumberFormat="0" applyBorder="0" applyAlignment="0" applyProtection="0"/>
  </cellStyleXfs>
  <cellXfs count="8">
    <xf numFmtId="0" fontId="0" fillId="0" borderId="0" xfId="0"/>
    <xf numFmtId="0" fontId="0" fillId="0" borderId="0" xfId="0" applyAlignment="1">
      <alignment horizontal="right"/>
    </xf>
    <xf numFmtId="0" fontId="1" fillId="2" borderId="0" xfId="0" applyFont="1" applyFill="1" applyAlignment="1">
      <alignment horizontal="left" vertical="center"/>
    </xf>
    <xf numFmtId="0" fontId="0" fillId="0" borderId="0" xfId="0" applyAlignment="1">
      <alignment horizontal="left"/>
    </xf>
    <xf numFmtId="0" fontId="3" fillId="4" borderId="0" xfId="2" applyNumberFormat="1" applyAlignment="1">
      <alignment horizontal="right"/>
    </xf>
    <xf numFmtId="0" fontId="3" fillId="4" borderId="0" xfId="2"/>
    <xf numFmtId="1" fontId="0" fillId="0" borderId="0" xfId="0" applyNumberFormat="1"/>
    <xf numFmtId="0" fontId="2" fillId="3" borderId="0" xfId="1" applyAlignment="1">
      <alignment horizontal="right"/>
    </xf>
  </cellXfs>
  <cellStyles count="3">
    <cellStyle name="Bad" xfId="2" builtinId="27"/>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V87"/>
  <sheetViews>
    <sheetView tabSelected="1" workbookViewId="0">
      <selection activeCell="E88" sqref="E88"/>
    </sheetView>
  </sheetViews>
  <sheetFormatPr defaultRowHeight="14.4" x14ac:dyDescent="0.3"/>
  <cols>
    <col min="1" max="1" width="33.21875" customWidth="1"/>
    <col min="2" max="2" width="30.44140625" customWidth="1"/>
    <col min="3" max="3" width="41.77734375" customWidth="1"/>
    <col min="4" max="4" width="27.33203125" customWidth="1"/>
    <col min="5" max="6" width="19.21875" customWidth="1"/>
    <col min="7" max="7" width="18.33203125" style="7" customWidth="1"/>
    <col min="8" max="8" width="17.109375" customWidth="1"/>
    <col min="9" max="9" width="12.5546875" customWidth="1"/>
    <col min="10" max="10" width="12.33203125" customWidth="1"/>
    <col min="11" max="13" width="17.109375" customWidth="1"/>
    <col min="14" max="14" width="14.21875" customWidth="1"/>
    <col min="15" max="17" width="16.6640625" customWidth="1"/>
    <col min="18" max="18" width="17.6640625" customWidth="1"/>
    <col min="19" max="21" width="21.33203125" customWidth="1"/>
    <col min="22" max="22" width="50" style="3" customWidth="1"/>
  </cols>
  <sheetData>
    <row r="1" spans="1:22" s="2" customFormat="1" x14ac:dyDescent="0.3">
      <c r="A1" s="2" t="s">
        <v>0</v>
      </c>
      <c r="B1" s="2" t="s">
        <v>104</v>
      </c>
      <c r="C1" s="2" t="s">
        <v>1</v>
      </c>
      <c r="D1" s="2" t="s">
        <v>2</v>
      </c>
      <c r="E1" s="2" t="s">
        <v>105</v>
      </c>
      <c r="F1" t="s">
        <v>106</v>
      </c>
      <c r="G1" s="2" t="s">
        <v>107</v>
      </c>
      <c r="H1" s="2" t="s">
        <v>3</v>
      </c>
      <c r="I1" s="2" t="s">
        <v>4</v>
      </c>
      <c r="J1" s="2" t="s">
        <v>5</v>
      </c>
      <c r="K1" s="2" t="s">
        <v>101</v>
      </c>
      <c r="L1" s="2" t="s">
        <v>108</v>
      </c>
      <c r="M1" s="2" t="s">
        <v>109</v>
      </c>
      <c r="N1" s="2" t="s">
        <v>6</v>
      </c>
      <c r="O1" s="2" t="s">
        <v>102</v>
      </c>
      <c r="Q1" s="2" t="s">
        <v>110</v>
      </c>
      <c r="R1" s="2" t="s">
        <v>8</v>
      </c>
      <c r="S1" s="2" t="s">
        <v>103</v>
      </c>
      <c r="U1" s="2" t="s">
        <v>111</v>
      </c>
      <c r="V1" s="2" t="s">
        <v>7</v>
      </c>
    </row>
    <row r="2" spans="1:22" hidden="1" x14ac:dyDescent="0.3">
      <c r="A2" t="s">
        <v>19</v>
      </c>
      <c r="B2" t="s">
        <v>20</v>
      </c>
      <c r="C2" s="1">
        <v>12</v>
      </c>
      <c r="D2" s="1">
        <v>500</v>
      </c>
      <c r="E2" s="1">
        <v>417</v>
      </c>
      <c r="F2" s="6">
        <f>E2/D2*100</f>
        <v>83.399999999999991</v>
      </c>
      <c r="G2" s="1" t="str">
        <f>_xlfn.CONCAT(E2, "/", D2, " (", TEXT(ROUND(F2, 0), "0"), "%)")</f>
        <v>417/500 (83%)</v>
      </c>
      <c r="H2" s="1">
        <v>2</v>
      </c>
      <c r="I2" s="1" t="s">
        <v>12</v>
      </c>
      <c r="J2" s="1">
        <v>500</v>
      </c>
      <c r="K2" s="1">
        <v>76</v>
      </c>
      <c r="L2" s="1">
        <f t="shared" ref="L2:L33" si="0">K2/J2*100</f>
        <v>15.2</v>
      </c>
      <c r="M2" s="1" t="str">
        <f>_xlfn.CONCAT(K2, "/", J2, " (", TEXT(ROUND(L2, 0), "0"), "%)")</f>
        <v>76/500 (15%)</v>
      </c>
      <c r="N2" s="1">
        <v>500</v>
      </c>
      <c r="O2" s="1">
        <v>7</v>
      </c>
      <c r="P2" s="1">
        <f t="shared" ref="P2:P33" si="1">O2/N2*100</f>
        <v>1.4000000000000001</v>
      </c>
      <c r="Q2" s="1" t="str">
        <f>_xlfn.CONCAT(O2, "/", N2, " (", TEXT(ROUND(P2, 0), "0"), "%)")</f>
        <v>7/500 (1%)</v>
      </c>
      <c r="R2" s="1">
        <v>500</v>
      </c>
      <c r="S2" s="1">
        <v>266</v>
      </c>
      <c r="T2" s="1">
        <f t="shared" ref="T2:T33" si="2">S2/R2*100</f>
        <v>53.2</v>
      </c>
      <c r="U2" s="1" t="str">
        <f>_xlfn.CONCAT(S2, "/", R2, " (", TEXT(ROUND(T2, 0), "0"), "%)")</f>
        <v>266/500 (53%)</v>
      </c>
      <c r="V2" s="3" t="s">
        <v>21</v>
      </c>
    </row>
    <row r="3" spans="1:22" hidden="1" x14ac:dyDescent="0.3">
      <c r="A3" t="s">
        <v>19</v>
      </c>
      <c r="B3" t="s">
        <v>22</v>
      </c>
      <c r="C3" s="1">
        <v>12</v>
      </c>
      <c r="D3" s="1">
        <v>512</v>
      </c>
      <c r="E3" s="1">
        <v>481</v>
      </c>
      <c r="F3" s="6">
        <f>E3/D3*100</f>
        <v>93.9453125</v>
      </c>
      <c r="G3" s="1" t="str">
        <f>_xlfn.CONCAT(E3, "/", D3, " (", TEXT(ROUND(F3, 0), "0"), "%)")</f>
        <v>481/512 (94%)</v>
      </c>
      <c r="H3" s="1">
        <v>1</v>
      </c>
      <c r="I3" s="1" t="s">
        <v>12</v>
      </c>
      <c r="J3" s="1">
        <v>512</v>
      </c>
      <c r="K3" s="1">
        <v>5</v>
      </c>
      <c r="L3" s="1">
        <f t="shared" si="0"/>
        <v>0.9765625</v>
      </c>
      <c r="M3" s="1" t="str">
        <f>_xlfn.CONCAT(K3, "/", J3, " (", TEXT(ROUND(L3, 0), "0"), "%)")</f>
        <v>5/512 (1%)</v>
      </c>
      <c r="N3" s="1">
        <v>512</v>
      </c>
      <c r="O3" s="1">
        <v>25</v>
      </c>
      <c r="P3" s="1">
        <f t="shared" si="1"/>
        <v>4.8828125</v>
      </c>
      <c r="Q3" s="1" t="str">
        <f>_xlfn.CONCAT(O3, "/", N3, " (", TEXT(ROUND(P3, 0), "0"), "%)")</f>
        <v>25/512 (5%)</v>
      </c>
      <c r="R3" s="1">
        <v>512</v>
      </c>
      <c r="S3" s="1">
        <v>459</v>
      </c>
      <c r="T3" s="1">
        <f t="shared" si="2"/>
        <v>89.6484375</v>
      </c>
      <c r="U3" s="1" t="str">
        <f>_xlfn.CONCAT(S3, "/", R3, " (", TEXT(ROUND(T3, 0), "0"), "%)")</f>
        <v>459/512 (90%)</v>
      </c>
      <c r="V3" s="3" t="s">
        <v>21</v>
      </c>
    </row>
    <row r="4" spans="1:22" hidden="1" x14ac:dyDescent="0.3">
      <c r="A4" t="s">
        <v>93</v>
      </c>
      <c r="B4" t="s">
        <v>20</v>
      </c>
      <c r="C4" s="1">
        <v>24</v>
      </c>
      <c r="D4" s="1">
        <v>312</v>
      </c>
      <c r="E4" s="1">
        <v>300</v>
      </c>
      <c r="F4" s="6">
        <f>E4/D4*100</f>
        <v>96.15384615384616</v>
      </c>
      <c r="G4" s="1" t="str">
        <f>_xlfn.CONCAT(E4, "/", D4, " (", TEXT(ROUND(F4, 0), "0"), "%)")</f>
        <v>300/312 (96%)</v>
      </c>
      <c r="H4" s="1">
        <v>0</v>
      </c>
      <c r="I4" s="1" t="s">
        <v>12</v>
      </c>
      <c r="J4" s="1">
        <v>312</v>
      </c>
      <c r="K4" s="1">
        <v>75</v>
      </c>
      <c r="L4" s="1">
        <f t="shared" si="0"/>
        <v>24.03846153846154</v>
      </c>
      <c r="M4" s="1" t="str">
        <f>_xlfn.CONCAT(K4, "/", J4, " (", TEXT(ROUND(L4, 0), "0"), "%)")</f>
        <v>75/312 (24%)</v>
      </c>
      <c r="N4" s="1">
        <v>312</v>
      </c>
      <c r="O4" s="1">
        <v>12</v>
      </c>
      <c r="P4" s="1">
        <f t="shared" si="1"/>
        <v>3.8461538461538463</v>
      </c>
      <c r="Q4" s="1" t="str">
        <f>_xlfn.CONCAT(O4, "/", N4, " (", TEXT(ROUND(P4, 0), "0"), "%)")</f>
        <v>12/312 (4%)</v>
      </c>
      <c r="R4" s="1"/>
      <c r="S4" s="1"/>
      <c r="T4" s="1" t="e">
        <f t="shared" si="2"/>
        <v>#DIV/0!</v>
      </c>
      <c r="U4" s="1" t="s">
        <v>12</v>
      </c>
      <c r="V4" s="3" t="s">
        <v>94</v>
      </c>
    </row>
    <row r="5" spans="1:22" hidden="1" x14ac:dyDescent="0.3">
      <c r="A5" t="s">
        <v>93</v>
      </c>
      <c r="B5" t="s">
        <v>11</v>
      </c>
      <c r="C5" s="1">
        <v>24</v>
      </c>
      <c r="D5" s="1">
        <v>627</v>
      </c>
      <c r="E5" s="1">
        <v>596</v>
      </c>
      <c r="F5" s="6">
        <f>E5/D5*100</f>
        <v>95.055821371610847</v>
      </c>
      <c r="G5" s="1" t="str">
        <f>_xlfn.CONCAT(E5, "/", D5, " (", TEXT(ROUND(F5, 0), "0"), "%)")</f>
        <v>596/627 (95%)</v>
      </c>
      <c r="H5" s="1">
        <v>2</v>
      </c>
      <c r="I5" s="1" t="s">
        <v>12</v>
      </c>
      <c r="J5" s="1">
        <v>627</v>
      </c>
      <c r="K5" s="1">
        <v>119</v>
      </c>
      <c r="L5" s="1">
        <f t="shared" si="0"/>
        <v>18.9792663476874</v>
      </c>
      <c r="M5" s="1" t="str">
        <f>_xlfn.CONCAT(K5, "/", J5, " (", TEXT(ROUND(L5, 0), "0"), "%)")</f>
        <v>119/627 (19%)</v>
      </c>
      <c r="N5" s="1">
        <v>627</v>
      </c>
      <c r="O5" s="1">
        <v>38</v>
      </c>
      <c r="P5" s="1">
        <f t="shared" si="1"/>
        <v>6.0606060606060606</v>
      </c>
      <c r="Q5" s="1" t="str">
        <f>_xlfn.CONCAT(O5, "/", N5, " (", TEXT(ROUND(P5, 0), "0"), "%)")</f>
        <v>38/627 (6%)</v>
      </c>
      <c r="R5" s="1"/>
      <c r="S5" s="1"/>
      <c r="T5" s="1" t="e">
        <f t="shared" si="2"/>
        <v>#DIV/0!</v>
      </c>
      <c r="U5" s="1" t="s">
        <v>12</v>
      </c>
      <c r="V5" s="3" t="s">
        <v>94</v>
      </c>
    </row>
    <row r="6" spans="1:22" x14ac:dyDescent="0.3">
      <c r="A6" t="s">
        <v>65</v>
      </c>
      <c r="B6" t="s">
        <v>66</v>
      </c>
      <c r="C6" s="1">
        <v>6</v>
      </c>
      <c r="D6" s="1">
        <v>131</v>
      </c>
      <c r="E6" s="1">
        <v>85</v>
      </c>
      <c r="F6" s="6">
        <f>D6/E6*100</f>
        <v>154.11764705882354</v>
      </c>
      <c r="G6" s="1" t="s">
        <v>12</v>
      </c>
      <c r="H6" s="1" t="s">
        <v>12</v>
      </c>
      <c r="I6" s="1">
        <v>0</v>
      </c>
      <c r="J6" s="1"/>
      <c r="K6" s="1"/>
      <c r="L6" s="1" t="e">
        <f t="shared" si="0"/>
        <v>#DIV/0!</v>
      </c>
      <c r="M6" s="1" t="s">
        <v>12</v>
      </c>
      <c r="N6" s="1"/>
      <c r="O6" s="1"/>
      <c r="P6" s="1" t="e">
        <f t="shared" si="1"/>
        <v>#DIV/0!</v>
      </c>
      <c r="Q6" s="1" t="s">
        <v>12</v>
      </c>
      <c r="R6" s="1"/>
      <c r="S6" s="1"/>
      <c r="T6" s="1" t="e">
        <f t="shared" si="2"/>
        <v>#DIV/0!</v>
      </c>
      <c r="U6" s="1" t="s">
        <v>12</v>
      </c>
    </row>
    <row r="7" spans="1:22" x14ac:dyDescent="0.3">
      <c r="A7" t="s">
        <v>65</v>
      </c>
      <c r="B7" t="s">
        <v>11</v>
      </c>
      <c r="C7" s="1">
        <v>6</v>
      </c>
      <c r="D7" s="1">
        <v>103</v>
      </c>
      <c r="E7" s="1">
        <v>71</v>
      </c>
      <c r="F7" s="6">
        <f>D7/E7*100</f>
        <v>145.07042253521126</v>
      </c>
      <c r="G7" s="1" t="s">
        <v>12</v>
      </c>
      <c r="H7" s="1" t="s">
        <v>12</v>
      </c>
      <c r="I7" s="1">
        <v>0</v>
      </c>
      <c r="J7" s="1"/>
      <c r="K7" s="1"/>
      <c r="L7" s="1" t="e">
        <f t="shared" si="0"/>
        <v>#DIV/0!</v>
      </c>
      <c r="M7" s="1" t="s">
        <v>12</v>
      </c>
      <c r="N7" s="1"/>
      <c r="O7" s="1"/>
      <c r="P7" s="1" t="e">
        <f t="shared" si="1"/>
        <v>#DIV/0!</v>
      </c>
      <c r="Q7" s="1" t="s">
        <v>12</v>
      </c>
      <c r="R7" s="1"/>
      <c r="S7" s="1"/>
      <c r="T7" s="1" t="e">
        <f t="shared" si="2"/>
        <v>#DIV/0!</v>
      </c>
      <c r="U7" s="1" t="s">
        <v>12</v>
      </c>
    </row>
    <row r="8" spans="1:22" hidden="1" x14ac:dyDescent="0.3">
      <c r="A8" t="s">
        <v>80</v>
      </c>
      <c r="B8" t="s">
        <v>20</v>
      </c>
      <c r="C8" s="1">
        <v>6</v>
      </c>
      <c r="D8" s="1"/>
      <c r="E8" s="1"/>
      <c r="F8" s="6" t="e">
        <f>D8/E8*100</f>
        <v>#DIV/0!</v>
      </c>
      <c r="G8" s="1" t="s">
        <v>12</v>
      </c>
      <c r="H8" s="1">
        <v>0</v>
      </c>
      <c r="I8" s="1">
        <v>0</v>
      </c>
      <c r="J8" s="1">
        <v>21</v>
      </c>
      <c r="K8" s="1">
        <v>0</v>
      </c>
      <c r="L8" s="1">
        <f t="shared" si="0"/>
        <v>0</v>
      </c>
      <c r="M8" s="1" t="str">
        <f t="shared" ref="M8:M17" si="3">_xlfn.CONCAT(K8, "/", J8, " (", TEXT(ROUND(L8, 0), "0"), "%)")</f>
        <v>0/21 (0%)</v>
      </c>
      <c r="N8" s="1"/>
      <c r="O8" s="1"/>
      <c r="P8" s="1" t="e">
        <f t="shared" si="1"/>
        <v>#DIV/0!</v>
      </c>
      <c r="Q8" s="1" t="s">
        <v>12</v>
      </c>
      <c r="R8" s="1">
        <v>21</v>
      </c>
      <c r="S8" s="1">
        <v>17</v>
      </c>
      <c r="T8" s="1">
        <f t="shared" si="2"/>
        <v>80.952380952380949</v>
      </c>
      <c r="U8" s="1" t="str">
        <f>_xlfn.CONCAT(S8, "/", R8, " (", TEXT(ROUND(T8, 0), "0"), "%)")</f>
        <v>17/21 (81%)</v>
      </c>
      <c r="V8" s="3" t="s">
        <v>81</v>
      </c>
    </row>
    <row r="9" spans="1:22" hidden="1" x14ac:dyDescent="0.3">
      <c r="A9" t="s">
        <v>80</v>
      </c>
      <c r="B9" t="s">
        <v>55</v>
      </c>
      <c r="C9" s="1">
        <v>6</v>
      </c>
      <c r="D9" s="1"/>
      <c r="E9" s="1"/>
      <c r="F9" s="6" t="e">
        <f>D9/E9*100</f>
        <v>#DIV/0!</v>
      </c>
      <c r="G9" s="1" t="s">
        <v>12</v>
      </c>
      <c r="H9" s="1">
        <v>0</v>
      </c>
      <c r="I9" s="1">
        <v>0</v>
      </c>
      <c r="J9" s="1">
        <v>43</v>
      </c>
      <c r="K9" s="1">
        <v>1</v>
      </c>
      <c r="L9" s="1">
        <f t="shared" si="0"/>
        <v>2.3255813953488373</v>
      </c>
      <c r="M9" s="1" t="str">
        <f t="shared" si="3"/>
        <v>1/43 (2%)</v>
      </c>
      <c r="N9" s="1"/>
      <c r="O9" s="1"/>
      <c r="P9" s="1" t="e">
        <f t="shared" si="1"/>
        <v>#DIV/0!</v>
      </c>
      <c r="Q9" s="1" t="s">
        <v>12</v>
      </c>
      <c r="R9" s="1">
        <v>43</v>
      </c>
      <c r="S9" s="1">
        <v>30</v>
      </c>
      <c r="T9" s="1">
        <f t="shared" si="2"/>
        <v>69.767441860465112</v>
      </c>
      <c r="U9" s="1" t="str">
        <f>_xlfn.CONCAT(S9, "/", R9, " (", TEXT(ROUND(T9, 0), "0"), "%)")</f>
        <v>30/43 (70%)</v>
      </c>
      <c r="V9" s="3" t="s">
        <v>81</v>
      </c>
    </row>
    <row r="10" spans="1:22" hidden="1" x14ac:dyDescent="0.3">
      <c r="A10" t="s">
        <v>61</v>
      </c>
      <c r="B10" t="s">
        <v>56</v>
      </c>
      <c r="C10" s="1">
        <v>30</v>
      </c>
      <c r="D10" s="1">
        <v>462</v>
      </c>
      <c r="E10" s="1">
        <v>380</v>
      </c>
      <c r="F10" s="6">
        <f t="shared" ref="F10:F15" si="4">E10/D10*100</f>
        <v>82.251082251082252</v>
      </c>
      <c r="G10" s="1" t="str">
        <f t="shared" ref="G10:G15" si="5">_xlfn.CONCAT(E10, "/", D10, " (", TEXT(ROUND(F10, 0), "0"), "%)")</f>
        <v>380/462 (82%)</v>
      </c>
      <c r="H10" s="1">
        <v>0</v>
      </c>
      <c r="I10" s="1" t="s">
        <v>12</v>
      </c>
      <c r="J10" s="1">
        <v>462</v>
      </c>
      <c r="K10" s="1">
        <v>38</v>
      </c>
      <c r="L10" s="1">
        <f t="shared" si="0"/>
        <v>8.2251082251082259</v>
      </c>
      <c r="M10" s="1" t="str">
        <f t="shared" si="3"/>
        <v>38/462 (8%)</v>
      </c>
      <c r="N10" s="1">
        <v>462</v>
      </c>
      <c r="O10" s="1">
        <v>24</v>
      </c>
      <c r="P10" s="1">
        <f t="shared" si="1"/>
        <v>5.1948051948051948</v>
      </c>
      <c r="Q10" s="1" t="str">
        <f t="shared" ref="Q10:Q17" si="6">_xlfn.CONCAT(O10, "/", N10, " (", TEXT(ROUND(P10, 0), "0"), "%)")</f>
        <v>24/462 (5%)</v>
      </c>
      <c r="R10" s="1"/>
      <c r="S10" s="1"/>
      <c r="T10" s="1" t="e">
        <f t="shared" si="2"/>
        <v>#DIV/0!</v>
      </c>
      <c r="U10" s="1" t="s">
        <v>12</v>
      </c>
      <c r="V10" s="3" t="s">
        <v>57</v>
      </c>
    </row>
    <row r="11" spans="1:22" hidden="1" x14ac:dyDescent="0.3">
      <c r="A11" t="s">
        <v>61</v>
      </c>
      <c r="B11" t="s">
        <v>55</v>
      </c>
      <c r="C11" s="1">
        <v>30</v>
      </c>
      <c r="D11" s="1">
        <v>465</v>
      </c>
      <c r="E11" s="1">
        <v>382</v>
      </c>
      <c r="F11" s="6">
        <f t="shared" si="4"/>
        <v>82.150537634408607</v>
      </c>
      <c r="G11" s="1" t="str">
        <f t="shared" si="5"/>
        <v>382/465 (82%)</v>
      </c>
      <c r="H11" s="1">
        <v>0</v>
      </c>
      <c r="I11" s="1" t="s">
        <v>12</v>
      </c>
      <c r="J11" s="1">
        <v>465</v>
      </c>
      <c r="K11" s="1">
        <v>48</v>
      </c>
      <c r="L11" s="1">
        <f t="shared" si="0"/>
        <v>10.32258064516129</v>
      </c>
      <c r="M11" s="1" t="str">
        <f t="shared" si="3"/>
        <v>48/465 (10%)</v>
      </c>
      <c r="N11" s="1">
        <v>465</v>
      </c>
      <c r="O11" s="1">
        <v>27</v>
      </c>
      <c r="P11" s="1">
        <f t="shared" si="1"/>
        <v>5.806451612903226</v>
      </c>
      <c r="Q11" s="1" t="str">
        <f t="shared" si="6"/>
        <v>27/465 (6%)</v>
      </c>
      <c r="R11" s="1"/>
      <c r="S11" s="1"/>
      <c r="T11" s="1" t="e">
        <f t="shared" si="2"/>
        <v>#DIV/0!</v>
      </c>
      <c r="U11" s="1" t="s">
        <v>12</v>
      </c>
      <c r="V11" s="3" t="s">
        <v>57</v>
      </c>
    </row>
    <row r="12" spans="1:22" hidden="1" x14ac:dyDescent="0.3">
      <c r="A12" t="s">
        <v>54</v>
      </c>
      <c r="B12" t="s">
        <v>56</v>
      </c>
      <c r="C12" s="1">
        <v>30</v>
      </c>
      <c r="D12" s="1">
        <v>474</v>
      </c>
      <c r="E12" s="1">
        <v>408</v>
      </c>
      <c r="F12" s="6">
        <f t="shared" si="4"/>
        <v>86.075949367088612</v>
      </c>
      <c r="G12" s="1" t="str">
        <f t="shared" si="5"/>
        <v>408/474 (86%)</v>
      </c>
      <c r="H12" s="1">
        <v>0</v>
      </c>
      <c r="I12" s="1" t="s">
        <v>12</v>
      </c>
      <c r="J12" s="1">
        <v>474</v>
      </c>
      <c r="K12" s="1">
        <v>36</v>
      </c>
      <c r="L12" s="1">
        <f t="shared" si="0"/>
        <v>7.59493670886076</v>
      </c>
      <c r="M12" s="1" t="str">
        <f t="shared" si="3"/>
        <v>36/474 (8%)</v>
      </c>
      <c r="N12" s="1">
        <v>474</v>
      </c>
      <c r="O12" s="1">
        <v>25</v>
      </c>
      <c r="P12" s="1">
        <f t="shared" si="1"/>
        <v>5.2742616033755274</v>
      </c>
      <c r="Q12" s="1" t="str">
        <f t="shared" si="6"/>
        <v>25/474 (5%)</v>
      </c>
      <c r="R12" s="1"/>
      <c r="S12" s="1"/>
      <c r="T12" s="1" t="e">
        <f t="shared" si="2"/>
        <v>#DIV/0!</v>
      </c>
      <c r="U12" s="1" t="s">
        <v>12</v>
      </c>
      <c r="V12" s="3" t="s">
        <v>57</v>
      </c>
    </row>
    <row r="13" spans="1:22" hidden="1" x14ac:dyDescent="0.3">
      <c r="A13" t="s">
        <v>54</v>
      </c>
      <c r="B13" t="s">
        <v>55</v>
      </c>
      <c r="C13" s="1">
        <v>30</v>
      </c>
      <c r="D13" s="1">
        <v>481</v>
      </c>
      <c r="E13" s="1">
        <v>409</v>
      </c>
      <c r="F13" s="6">
        <f t="shared" si="4"/>
        <v>85.031185031185032</v>
      </c>
      <c r="G13" s="1" t="str">
        <f t="shared" si="5"/>
        <v>409/481 (85%)</v>
      </c>
      <c r="H13" s="1">
        <v>0</v>
      </c>
      <c r="I13" s="1" t="s">
        <v>12</v>
      </c>
      <c r="J13" s="1">
        <v>481</v>
      </c>
      <c r="K13" s="1">
        <v>38</v>
      </c>
      <c r="L13" s="1">
        <f t="shared" si="0"/>
        <v>7.9002079002079011</v>
      </c>
      <c r="M13" s="1" t="str">
        <f t="shared" si="3"/>
        <v>38/481 (8%)</v>
      </c>
      <c r="N13" s="1">
        <v>481</v>
      </c>
      <c r="O13" s="1">
        <v>27</v>
      </c>
      <c r="P13" s="1">
        <f t="shared" si="1"/>
        <v>5.6133056133056138</v>
      </c>
      <c r="Q13" s="1" t="str">
        <f t="shared" si="6"/>
        <v>27/481 (6%)</v>
      </c>
      <c r="R13" s="1"/>
      <c r="S13" s="1"/>
      <c r="T13" s="1" t="e">
        <f t="shared" si="2"/>
        <v>#DIV/0!</v>
      </c>
      <c r="U13" s="1" t="s">
        <v>12</v>
      </c>
      <c r="V13" s="3" t="s">
        <v>57</v>
      </c>
    </row>
    <row r="14" spans="1:22" hidden="1" x14ac:dyDescent="0.3">
      <c r="A14" t="s">
        <v>39</v>
      </c>
      <c r="B14" t="s">
        <v>13</v>
      </c>
      <c r="C14" s="1">
        <v>12</v>
      </c>
      <c r="D14" s="1">
        <v>345</v>
      </c>
      <c r="E14" s="1">
        <v>312</v>
      </c>
      <c r="F14" s="6">
        <f t="shared" si="4"/>
        <v>90.434782608695656</v>
      </c>
      <c r="G14" s="1" t="str">
        <f t="shared" si="5"/>
        <v>312/345 (90%)</v>
      </c>
      <c r="H14" s="1">
        <v>0</v>
      </c>
      <c r="I14" s="1" t="s">
        <v>12</v>
      </c>
      <c r="J14" s="1">
        <v>345</v>
      </c>
      <c r="K14" s="1">
        <v>25</v>
      </c>
      <c r="L14" s="1">
        <f t="shared" si="0"/>
        <v>7.2463768115942031</v>
      </c>
      <c r="M14" s="1" t="str">
        <f t="shared" si="3"/>
        <v>25/345 (7%)</v>
      </c>
      <c r="N14" s="1">
        <v>345</v>
      </c>
      <c r="O14" s="1">
        <v>32</v>
      </c>
      <c r="P14" s="1">
        <f t="shared" si="1"/>
        <v>9.27536231884058</v>
      </c>
      <c r="Q14" s="1" t="str">
        <f t="shared" si="6"/>
        <v>32/345 (9%)</v>
      </c>
      <c r="R14" s="1"/>
      <c r="S14" s="1"/>
      <c r="T14" s="1" t="e">
        <f t="shared" si="2"/>
        <v>#DIV/0!</v>
      </c>
      <c r="U14" s="1" t="s">
        <v>12</v>
      </c>
      <c r="V14" s="3" t="s">
        <v>40</v>
      </c>
    </row>
    <row r="15" spans="1:22" hidden="1" x14ac:dyDescent="0.3">
      <c r="A15" t="s">
        <v>39</v>
      </c>
      <c r="B15" t="s">
        <v>18</v>
      </c>
      <c r="C15" s="1">
        <v>12</v>
      </c>
      <c r="D15" s="1">
        <v>324</v>
      </c>
      <c r="E15" s="1">
        <v>283</v>
      </c>
      <c r="F15" s="6">
        <f t="shared" si="4"/>
        <v>87.345679012345684</v>
      </c>
      <c r="G15" s="1" t="str">
        <f t="shared" si="5"/>
        <v>283/324 (87%)</v>
      </c>
      <c r="H15" s="1">
        <v>0</v>
      </c>
      <c r="I15" s="1" t="s">
        <v>12</v>
      </c>
      <c r="J15" s="1">
        <v>324</v>
      </c>
      <c r="K15" s="1">
        <v>20</v>
      </c>
      <c r="L15" s="1">
        <f t="shared" si="0"/>
        <v>6.1728395061728394</v>
      </c>
      <c r="M15" s="1" t="str">
        <f t="shared" si="3"/>
        <v>20/324 (6%)</v>
      </c>
      <c r="N15" s="1">
        <v>324</v>
      </c>
      <c r="O15" s="1">
        <v>45</v>
      </c>
      <c r="P15" s="1">
        <f t="shared" si="1"/>
        <v>13.888888888888889</v>
      </c>
      <c r="Q15" s="1" t="str">
        <f t="shared" si="6"/>
        <v>45/324 (14%)</v>
      </c>
      <c r="R15" s="1"/>
      <c r="S15" s="1"/>
      <c r="T15" s="1" t="e">
        <f t="shared" si="2"/>
        <v>#DIV/0!</v>
      </c>
      <c r="U15" s="1" t="s">
        <v>12</v>
      </c>
      <c r="V15" s="3" t="s">
        <v>40</v>
      </c>
    </row>
    <row r="16" spans="1:22" hidden="1" x14ac:dyDescent="0.3">
      <c r="A16" t="s">
        <v>86</v>
      </c>
      <c r="B16" t="s">
        <v>38</v>
      </c>
      <c r="C16" s="1" t="s">
        <v>87</v>
      </c>
      <c r="D16" s="1"/>
      <c r="E16" s="1"/>
      <c r="F16" s="6" t="e">
        <f>D16/E16*100</f>
        <v>#DIV/0!</v>
      </c>
      <c r="G16" s="1" t="s">
        <v>12</v>
      </c>
      <c r="H16" s="1">
        <v>0</v>
      </c>
      <c r="I16" s="1" t="s">
        <v>12</v>
      </c>
      <c r="J16" s="1">
        <v>888</v>
      </c>
      <c r="K16" s="1">
        <v>100</v>
      </c>
      <c r="L16" s="1">
        <f t="shared" si="0"/>
        <v>11.261261261261261</v>
      </c>
      <c r="M16" s="1" t="str">
        <f t="shared" si="3"/>
        <v>100/888 (11%)</v>
      </c>
      <c r="N16" s="1">
        <v>888</v>
      </c>
      <c r="O16" s="1">
        <v>13</v>
      </c>
      <c r="P16" s="1">
        <f t="shared" si="1"/>
        <v>1.4639639639639639</v>
      </c>
      <c r="Q16" s="1" t="str">
        <f t="shared" si="6"/>
        <v>13/888 (1%)</v>
      </c>
      <c r="R16" s="1"/>
      <c r="S16" s="1"/>
      <c r="T16" s="1" t="e">
        <f t="shared" si="2"/>
        <v>#DIV/0!</v>
      </c>
      <c r="U16" s="1" t="s">
        <v>12</v>
      </c>
      <c r="V16" s="3" t="s">
        <v>88</v>
      </c>
    </row>
    <row r="17" spans="1:22" hidden="1" x14ac:dyDescent="0.3">
      <c r="A17" t="s">
        <v>86</v>
      </c>
      <c r="B17" t="s">
        <v>18</v>
      </c>
      <c r="C17" s="1" t="s">
        <v>87</v>
      </c>
      <c r="D17" s="1"/>
      <c r="E17" s="1"/>
      <c r="F17" s="6" t="e">
        <f>D17/E17*100</f>
        <v>#DIV/0!</v>
      </c>
      <c r="G17" s="1" t="s">
        <v>12</v>
      </c>
      <c r="H17" s="1">
        <v>1</v>
      </c>
      <c r="I17" s="1" t="s">
        <v>12</v>
      </c>
      <c r="J17" s="1">
        <v>445</v>
      </c>
      <c r="K17" s="1">
        <v>57</v>
      </c>
      <c r="L17" s="1">
        <f t="shared" si="0"/>
        <v>12.808988764044942</v>
      </c>
      <c r="M17" s="1" t="str">
        <f t="shared" si="3"/>
        <v>57/445 (13%)</v>
      </c>
      <c r="N17" s="1">
        <v>445</v>
      </c>
      <c r="O17" s="1">
        <v>8</v>
      </c>
      <c r="P17" s="1">
        <f t="shared" si="1"/>
        <v>1.7977528089887642</v>
      </c>
      <c r="Q17" s="1" t="str">
        <f t="shared" si="6"/>
        <v>8/445 (2%)</v>
      </c>
      <c r="R17" s="1"/>
      <c r="S17" s="1"/>
      <c r="T17" s="1" t="e">
        <f t="shared" si="2"/>
        <v>#DIV/0!</v>
      </c>
      <c r="U17" s="1" t="s">
        <v>12</v>
      </c>
      <c r="V17" s="3" t="s">
        <v>88</v>
      </c>
    </row>
    <row r="18" spans="1:22" hidden="1" x14ac:dyDescent="0.3">
      <c r="A18" t="s">
        <v>15</v>
      </c>
      <c r="B18" t="s">
        <v>17</v>
      </c>
      <c r="C18" s="1"/>
      <c r="D18" s="1"/>
      <c r="E18" s="1"/>
      <c r="F18" s="6" t="e">
        <f>D18/E18*100</f>
        <v>#DIV/0!</v>
      </c>
      <c r="G18" s="1" t="s">
        <v>12</v>
      </c>
      <c r="H18" s="1" t="s">
        <v>12</v>
      </c>
      <c r="I18" s="1" t="s">
        <v>12</v>
      </c>
      <c r="J18" s="1"/>
      <c r="K18" s="1"/>
      <c r="L18" s="1" t="e">
        <f t="shared" si="0"/>
        <v>#DIV/0!</v>
      </c>
      <c r="M18" s="1" t="s">
        <v>12</v>
      </c>
      <c r="N18" s="1"/>
      <c r="O18" s="1"/>
      <c r="P18" s="1" t="e">
        <f t="shared" si="1"/>
        <v>#DIV/0!</v>
      </c>
      <c r="Q18" s="1" t="s">
        <v>12</v>
      </c>
      <c r="R18" s="1"/>
      <c r="S18" s="1"/>
      <c r="T18" s="1" t="e">
        <f t="shared" si="2"/>
        <v>#DIV/0!</v>
      </c>
      <c r="U18" s="1" t="s">
        <v>12</v>
      </c>
    </row>
    <row r="19" spans="1:22" hidden="1" x14ac:dyDescent="0.3">
      <c r="A19" t="s">
        <v>15</v>
      </c>
      <c r="B19" t="s">
        <v>16</v>
      </c>
      <c r="C19" s="1"/>
      <c r="D19" s="1"/>
      <c r="E19" s="1"/>
      <c r="F19" s="6" t="e">
        <f>D19/E19*100</f>
        <v>#DIV/0!</v>
      </c>
      <c r="G19" s="1" t="s">
        <v>12</v>
      </c>
      <c r="H19" s="1" t="s">
        <v>12</v>
      </c>
      <c r="I19" s="1" t="s">
        <v>12</v>
      </c>
      <c r="J19" s="1"/>
      <c r="K19" s="1"/>
      <c r="L19" s="1" t="e">
        <f t="shared" si="0"/>
        <v>#DIV/0!</v>
      </c>
      <c r="M19" s="1" t="s">
        <v>12</v>
      </c>
      <c r="N19" s="1"/>
      <c r="O19" s="1"/>
      <c r="P19" s="1" t="e">
        <f t="shared" si="1"/>
        <v>#DIV/0!</v>
      </c>
      <c r="Q19" s="1" t="s">
        <v>12</v>
      </c>
      <c r="R19" s="1"/>
      <c r="S19" s="1"/>
      <c r="T19" s="1" t="e">
        <f t="shared" si="2"/>
        <v>#DIV/0!</v>
      </c>
      <c r="U19" s="1" t="s">
        <v>12</v>
      </c>
    </row>
    <row r="20" spans="1:22" hidden="1" x14ac:dyDescent="0.3">
      <c r="A20" t="s">
        <v>15</v>
      </c>
      <c r="B20" t="s">
        <v>18</v>
      </c>
      <c r="C20" s="1"/>
      <c r="D20" s="1"/>
      <c r="E20" s="1"/>
      <c r="F20" s="6" t="e">
        <f>D20/E20*100</f>
        <v>#DIV/0!</v>
      </c>
      <c r="G20" s="1" t="s">
        <v>12</v>
      </c>
      <c r="H20" s="1" t="s">
        <v>12</v>
      </c>
      <c r="I20" s="1" t="s">
        <v>12</v>
      </c>
      <c r="J20" s="1"/>
      <c r="K20" s="1"/>
      <c r="L20" s="1" t="e">
        <f t="shared" si="0"/>
        <v>#DIV/0!</v>
      </c>
      <c r="M20" s="1" t="s">
        <v>12</v>
      </c>
      <c r="N20" s="1"/>
      <c r="O20" s="1"/>
      <c r="P20" s="1" t="e">
        <f t="shared" si="1"/>
        <v>#DIV/0!</v>
      </c>
      <c r="Q20" s="1" t="s">
        <v>12</v>
      </c>
      <c r="R20" s="1"/>
      <c r="S20" s="1"/>
      <c r="T20" s="1" t="e">
        <f t="shared" si="2"/>
        <v>#DIV/0!</v>
      </c>
      <c r="U20" s="1" t="s">
        <v>12</v>
      </c>
    </row>
    <row r="21" spans="1:22" hidden="1" x14ac:dyDescent="0.3">
      <c r="A21" t="s">
        <v>31</v>
      </c>
      <c r="B21" t="s">
        <v>16</v>
      </c>
      <c r="C21" s="1">
        <v>36</v>
      </c>
      <c r="D21" s="1">
        <v>107</v>
      </c>
      <c r="E21" s="1">
        <v>107</v>
      </c>
      <c r="F21" s="6">
        <f>E21/D21*100</f>
        <v>100</v>
      </c>
      <c r="G21" s="1" t="str">
        <f>_xlfn.CONCAT(E21, "/", D21, " (", TEXT(ROUND(F21, 0), "0"), "%)")</f>
        <v>107/107 (100%)</v>
      </c>
      <c r="H21" s="1">
        <v>0</v>
      </c>
      <c r="I21" s="1">
        <v>0</v>
      </c>
      <c r="J21" s="1">
        <v>107</v>
      </c>
      <c r="K21" s="1">
        <v>24</v>
      </c>
      <c r="L21" s="1">
        <f t="shared" si="0"/>
        <v>22.429906542056074</v>
      </c>
      <c r="M21" s="1" t="str">
        <f>_xlfn.CONCAT(K21, "/", J21, " (", TEXT(ROUND(L21, 0), "0"), "%)")</f>
        <v>24/107 (22%)</v>
      </c>
      <c r="N21" s="1">
        <v>107</v>
      </c>
      <c r="O21" s="1">
        <v>13</v>
      </c>
      <c r="P21" s="1">
        <f t="shared" si="1"/>
        <v>12.149532710280374</v>
      </c>
      <c r="Q21" s="1" t="str">
        <f>_xlfn.CONCAT(O21, "/", N21, " (", TEXT(ROUND(P21, 0), "0"), "%)")</f>
        <v>13/107 (12%)</v>
      </c>
      <c r="R21" s="1"/>
      <c r="S21" s="1"/>
      <c r="T21" s="1" t="e">
        <f t="shared" si="2"/>
        <v>#DIV/0!</v>
      </c>
      <c r="U21" s="1" t="s">
        <v>12</v>
      </c>
      <c r="V21" s="3" t="s">
        <v>32</v>
      </c>
    </row>
    <row r="22" spans="1:22" hidden="1" x14ac:dyDescent="0.3">
      <c r="A22" t="s">
        <v>31</v>
      </c>
      <c r="B22" t="s">
        <v>30</v>
      </c>
      <c r="C22" s="1">
        <v>36</v>
      </c>
      <c r="D22" s="1">
        <v>108</v>
      </c>
      <c r="E22" s="1">
        <v>108</v>
      </c>
      <c r="F22" s="6">
        <f>E22/D22*100</f>
        <v>100</v>
      </c>
      <c r="G22" s="1" t="str">
        <f>_xlfn.CONCAT(E22, "/", D22, " (", TEXT(ROUND(F22, 0), "0"), "%)")</f>
        <v>108/108 (100%)</v>
      </c>
      <c r="H22" s="1">
        <v>1</v>
      </c>
      <c r="I22" s="1">
        <v>0</v>
      </c>
      <c r="J22" s="1">
        <v>108</v>
      </c>
      <c r="K22" s="1">
        <v>24</v>
      </c>
      <c r="L22" s="1">
        <f t="shared" si="0"/>
        <v>22.222222222222221</v>
      </c>
      <c r="M22" s="1" t="str">
        <f>_xlfn.CONCAT(K22, "/", J22, " (", TEXT(ROUND(L22, 0), "0"), "%)")</f>
        <v>24/108 (22%)</v>
      </c>
      <c r="N22" s="1">
        <v>108</v>
      </c>
      <c r="O22" s="1">
        <v>2</v>
      </c>
      <c r="P22" s="1">
        <f t="shared" si="1"/>
        <v>1.8518518518518516</v>
      </c>
      <c r="Q22" s="1" t="str">
        <f>_xlfn.CONCAT(O22, "/", N22, " (", TEXT(ROUND(P22, 0), "0"), "%)")</f>
        <v>2/108 (2%)</v>
      </c>
      <c r="R22" s="1"/>
      <c r="S22" s="1"/>
      <c r="T22" s="1" t="e">
        <f t="shared" si="2"/>
        <v>#DIV/0!</v>
      </c>
      <c r="U22" s="1" t="s">
        <v>12</v>
      </c>
      <c r="V22" s="3" t="s">
        <v>32</v>
      </c>
    </row>
    <row r="23" spans="1:22" hidden="1" x14ac:dyDescent="0.3">
      <c r="A23" t="s">
        <v>28</v>
      </c>
      <c r="B23" t="s">
        <v>16</v>
      </c>
      <c r="C23" s="1">
        <v>24</v>
      </c>
      <c r="D23" s="1">
        <v>187</v>
      </c>
      <c r="E23" s="1">
        <v>172</v>
      </c>
      <c r="F23" s="6">
        <f>E23/D23*100</f>
        <v>91.978609625668454</v>
      </c>
      <c r="G23" s="1" t="str">
        <f>_xlfn.CONCAT(E23, "/", D23, " (", TEXT(ROUND(F23, 0), "0"), "%)")</f>
        <v>172/187 (92%)</v>
      </c>
      <c r="H23" s="1">
        <v>0</v>
      </c>
      <c r="I23" s="1" t="s">
        <v>12</v>
      </c>
      <c r="J23" s="1">
        <v>187</v>
      </c>
      <c r="K23" s="1">
        <v>27</v>
      </c>
      <c r="L23" s="1">
        <f t="shared" si="0"/>
        <v>14.438502673796791</v>
      </c>
      <c r="M23" s="1" t="str">
        <f>_xlfn.CONCAT(K23, "/", J23, " (", TEXT(ROUND(L23, 0), "0"), "%)")</f>
        <v>27/187 (14%)</v>
      </c>
      <c r="N23" s="1">
        <v>187</v>
      </c>
      <c r="O23" s="1">
        <v>11</v>
      </c>
      <c r="P23" s="1">
        <f t="shared" si="1"/>
        <v>5.8823529411764701</v>
      </c>
      <c r="Q23" s="1" t="str">
        <f>_xlfn.CONCAT(O23, "/", N23, " (", TEXT(ROUND(P23, 0), "0"), "%)")</f>
        <v>11/187 (6%)</v>
      </c>
      <c r="R23" s="1"/>
      <c r="S23" s="1"/>
      <c r="T23" s="1" t="e">
        <f t="shared" si="2"/>
        <v>#DIV/0!</v>
      </c>
      <c r="U23" s="1" t="s">
        <v>12</v>
      </c>
      <c r="V23" s="3" t="s">
        <v>29</v>
      </c>
    </row>
    <row r="24" spans="1:22" hidden="1" x14ac:dyDescent="0.3">
      <c r="A24" t="s">
        <v>28</v>
      </c>
      <c r="B24" t="s">
        <v>30</v>
      </c>
      <c r="C24" s="1">
        <v>24</v>
      </c>
      <c r="D24" s="1">
        <v>376</v>
      </c>
      <c r="E24" s="1">
        <v>361</v>
      </c>
      <c r="F24" s="6">
        <f>E24/D24*100</f>
        <v>96.010638297872347</v>
      </c>
      <c r="G24" s="1" t="str">
        <f>_xlfn.CONCAT(E24, "/", D24, " (", TEXT(ROUND(F24, 0), "0"), "%)")</f>
        <v>361/376 (96%)</v>
      </c>
      <c r="H24" s="1">
        <v>1</v>
      </c>
      <c r="I24" s="1" t="s">
        <v>12</v>
      </c>
      <c r="J24" s="1">
        <v>376</v>
      </c>
      <c r="K24" s="1">
        <v>69</v>
      </c>
      <c r="L24" s="1">
        <f t="shared" si="0"/>
        <v>18.351063829787233</v>
      </c>
      <c r="M24" s="1" t="str">
        <f>_xlfn.CONCAT(K24, "/", J24, " (", TEXT(ROUND(L24, 0), "0"), "%)")</f>
        <v>69/376 (18%)</v>
      </c>
      <c r="N24" s="1">
        <v>376</v>
      </c>
      <c r="O24" s="1">
        <v>5</v>
      </c>
      <c r="P24" s="1">
        <f t="shared" si="1"/>
        <v>1.3297872340425532</v>
      </c>
      <c r="Q24" s="1" t="str">
        <f>_xlfn.CONCAT(O24, "/", N24, " (", TEXT(ROUND(P24, 0), "0"), "%)")</f>
        <v>5/376 (1%)</v>
      </c>
      <c r="R24" s="1"/>
      <c r="S24" s="1"/>
      <c r="T24" s="1" t="e">
        <f t="shared" si="2"/>
        <v>#DIV/0!</v>
      </c>
      <c r="U24" s="1" t="s">
        <v>12</v>
      </c>
      <c r="V24" s="3" t="s">
        <v>29</v>
      </c>
    </row>
    <row r="25" spans="1:22" hidden="1" x14ac:dyDescent="0.3">
      <c r="A25" t="s">
        <v>33</v>
      </c>
      <c r="B25" t="s">
        <v>16</v>
      </c>
      <c r="C25" s="1"/>
      <c r="D25" s="1"/>
      <c r="E25" s="1"/>
      <c r="F25" s="6" t="e">
        <f>D25/E25*100</f>
        <v>#DIV/0!</v>
      </c>
      <c r="G25" s="1" t="s">
        <v>12</v>
      </c>
      <c r="H25" s="1">
        <v>0</v>
      </c>
      <c r="I25" s="1" t="s">
        <v>12</v>
      </c>
      <c r="J25" s="1"/>
      <c r="K25" s="1"/>
      <c r="L25" s="1" t="e">
        <f t="shared" si="0"/>
        <v>#DIV/0!</v>
      </c>
      <c r="M25" s="1" t="s">
        <v>12</v>
      </c>
      <c r="N25" s="1"/>
      <c r="O25" s="1"/>
      <c r="P25" s="1" t="e">
        <f t="shared" si="1"/>
        <v>#DIV/0!</v>
      </c>
      <c r="Q25" s="1" t="s">
        <v>12</v>
      </c>
      <c r="R25" s="1"/>
      <c r="S25" s="1"/>
      <c r="T25" s="1" t="e">
        <f t="shared" si="2"/>
        <v>#DIV/0!</v>
      </c>
      <c r="U25" s="1" t="s">
        <v>12</v>
      </c>
    </row>
    <row r="26" spans="1:22" hidden="1" x14ac:dyDescent="0.3">
      <c r="A26" t="s">
        <v>33</v>
      </c>
      <c r="B26" t="s">
        <v>30</v>
      </c>
      <c r="C26" s="1"/>
      <c r="D26" s="1"/>
      <c r="E26" s="1"/>
      <c r="F26" s="6" t="e">
        <f>D26/E26*100</f>
        <v>#DIV/0!</v>
      </c>
      <c r="G26" s="1" t="s">
        <v>12</v>
      </c>
      <c r="H26" s="1">
        <v>2</v>
      </c>
      <c r="I26" s="1" t="s">
        <v>12</v>
      </c>
      <c r="J26" s="1"/>
      <c r="K26" s="1"/>
      <c r="L26" s="1" t="e">
        <f t="shared" si="0"/>
        <v>#DIV/0!</v>
      </c>
      <c r="M26" s="1" t="s">
        <v>12</v>
      </c>
      <c r="N26" s="1"/>
      <c r="O26" s="1"/>
      <c r="P26" s="1" t="e">
        <f t="shared" si="1"/>
        <v>#DIV/0!</v>
      </c>
      <c r="Q26" s="1" t="s">
        <v>12</v>
      </c>
      <c r="R26" s="1"/>
      <c r="S26" s="1"/>
      <c r="T26" s="1" t="e">
        <f t="shared" si="2"/>
        <v>#DIV/0!</v>
      </c>
      <c r="U26" s="1" t="s">
        <v>12</v>
      </c>
    </row>
    <row r="27" spans="1:22" hidden="1" x14ac:dyDescent="0.3">
      <c r="A27" t="s">
        <v>58</v>
      </c>
      <c r="B27" t="s">
        <v>60</v>
      </c>
      <c r="C27" s="1">
        <v>24</v>
      </c>
      <c r="D27" s="1">
        <v>430</v>
      </c>
      <c r="E27" s="1">
        <v>347</v>
      </c>
      <c r="F27" s="6">
        <f>E27/D27*100</f>
        <v>80.697674418604649</v>
      </c>
      <c r="G27" s="1" t="str">
        <f>_xlfn.CONCAT(E27, "/", D27, " (", TEXT(ROUND(F27, 0), "0"), "%)")</f>
        <v>347/430 (81%)</v>
      </c>
      <c r="H27" s="1">
        <v>2</v>
      </c>
      <c r="I27" s="1" t="s">
        <v>12</v>
      </c>
      <c r="J27" s="1">
        <v>36</v>
      </c>
      <c r="K27" s="1" t="s">
        <v>12</v>
      </c>
      <c r="L27" s="1" t="e">
        <f t="shared" si="0"/>
        <v>#VALUE!</v>
      </c>
      <c r="M27" s="1" t="s">
        <v>12</v>
      </c>
      <c r="N27" s="1">
        <v>430</v>
      </c>
      <c r="O27" s="1">
        <v>15</v>
      </c>
      <c r="P27" s="1">
        <f t="shared" si="1"/>
        <v>3.4883720930232558</v>
      </c>
      <c r="Q27" s="1" t="str">
        <f>_xlfn.CONCAT(O27, "/", N27, " (", TEXT(ROUND(P27, 0), "0"), "%)")</f>
        <v>15/430 (3%)</v>
      </c>
      <c r="R27" s="1"/>
      <c r="S27" s="1"/>
      <c r="T27" s="1" t="e">
        <f t="shared" si="2"/>
        <v>#DIV/0!</v>
      </c>
      <c r="U27" s="1" t="s">
        <v>12</v>
      </c>
      <c r="V27" s="3" t="s">
        <v>59</v>
      </c>
    </row>
    <row r="28" spans="1:22" hidden="1" x14ac:dyDescent="0.3">
      <c r="A28" t="s">
        <v>58</v>
      </c>
      <c r="B28" t="s">
        <v>20</v>
      </c>
      <c r="C28" s="1">
        <v>24</v>
      </c>
      <c r="D28" s="1">
        <v>435</v>
      </c>
      <c r="E28" s="1">
        <v>319</v>
      </c>
      <c r="F28" s="6">
        <f>E28/D28*100</f>
        <v>73.333333333333329</v>
      </c>
      <c r="G28" s="1" t="str">
        <f>_xlfn.CONCAT(E28, "/", D28, " (", TEXT(ROUND(F28, 0), "0"), "%)")</f>
        <v>319/435 (73%)</v>
      </c>
      <c r="H28" s="1">
        <v>2</v>
      </c>
      <c r="I28" s="1" t="s">
        <v>12</v>
      </c>
      <c r="J28" s="1">
        <v>28</v>
      </c>
      <c r="K28" s="1" t="s">
        <v>12</v>
      </c>
      <c r="L28" s="1" t="e">
        <f t="shared" si="0"/>
        <v>#VALUE!</v>
      </c>
      <c r="M28" s="1" t="s">
        <v>12</v>
      </c>
      <c r="N28" s="1">
        <v>435</v>
      </c>
      <c r="O28" s="1">
        <v>9</v>
      </c>
      <c r="P28" s="1">
        <f t="shared" si="1"/>
        <v>2.0689655172413794</v>
      </c>
      <c r="Q28" s="1" t="str">
        <f>_xlfn.CONCAT(O28, "/", N28, " (", TEXT(ROUND(P28, 0), "0"), "%)")</f>
        <v>9/435 (2%)</v>
      </c>
      <c r="R28" s="1"/>
      <c r="S28" s="1"/>
      <c r="T28" s="1" t="e">
        <f t="shared" si="2"/>
        <v>#DIV/0!</v>
      </c>
      <c r="U28" s="1" t="s">
        <v>12</v>
      </c>
      <c r="V28" s="3" t="s">
        <v>59</v>
      </c>
    </row>
    <row r="29" spans="1:22" hidden="1" x14ac:dyDescent="0.3">
      <c r="A29" t="s">
        <v>82</v>
      </c>
      <c r="B29" t="s">
        <v>18</v>
      </c>
      <c r="C29" s="1">
        <v>36</v>
      </c>
      <c r="D29" s="1"/>
      <c r="E29" s="1"/>
      <c r="F29" s="6" t="e">
        <f>D29/E29*100</f>
        <v>#DIV/0!</v>
      </c>
      <c r="G29" s="1" t="s">
        <v>12</v>
      </c>
      <c r="H29" s="1">
        <v>1</v>
      </c>
      <c r="I29" s="1" t="s">
        <v>12</v>
      </c>
      <c r="J29" s="1">
        <v>259</v>
      </c>
      <c r="K29" s="1">
        <v>30</v>
      </c>
      <c r="L29" s="1">
        <f t="shared" si="0"/>
        <v>11.583011583011583</v>
      </c>
      <c r="M29" s="1" t="str">
        <f t="shared" ref="M29:M34" si="7">_xlfn.CONCAT(K29, "/", J29, " (", TEXT(ROUND(L29, 0), "0"), "%)")</f>
        <v>30/259 (12%)</v>
      </c>
      <c r="N29" s="1"/>
      <c r="O29" s="1"/>
      <c r="P29" s="1" t="e">
        <f t="shared" si="1"/>
        <v>#DIV/0!</v>
      </c>
      <c r="Q29" s="1" t="s">
        <v>12</v>
      </c>
      <c r="R29" s="1"/>
      <c r="S29" s="1"/>
      <c r="T29" s="1" t="e">
        <f t="shared" si="2"/>
        <v>#DIV/0!</v>
      </c>
      <c r="U29" s="1" t="s">
        <v>12</v>
      </c>
      <c r="V29" s="3" t="s">
        <v>83</v>
      </c>
    </row>
    <row r="30" spans="1:22" hidden="1" x14ac:dyDescent="0.3">
      <c r="A30" t="s">
        <v>82</v>
      </c>
      <c r="B30" t="s">
        <v>17</v>
      </c>
      <c r="C30" s="1">
        <v>36</v>
      </c>
      <c r="D30" s="1"/>
      <c r="E30" s="1"/>
      <c r="F30" s="6" t="e">
        <f>D30/E30*100</f>
        <v>#DIV/0!</v>
      </c>
      <c r="G30" s="1" t="s">
        <v>12</v>
      </c>
      <c r="H30" s="1">
        <v>1</v>
      </c>
      <c r="I30" s="1" t="s">
        <v>12</v>
      </c>
      <c r="J30" s="1">
        <v>250</v>
      </c>
      <c r="K30" s="1">
        <v>38</v>
      </c>
      <c r="L30" s="1">
        <f t="shared" si="0"/>
        <v>15.2</v>
      </c>
      <c r="M30" s="1" t="str">
        <f t="shared" si="7"/>
        <v>38/250 (15%)</v>
      </c>
      <c r="N30" s="1"/>
      <c r="O30" s="1"/>
      <c r="P30" s="1" t="e">
        <f t="shared" si="1"/>
        <v>#DIV/0!</v>
      </c>
      <c r="Q30" s="1" t="s">
        <v>12</v>
      </c>
      <c r="R30" s="1"/>
      <c r="S30" s="1"/>
      <c r="T30" s="1" t="e">
        <f t="shared" si="2"/>
        <v>#DIV/0!</v>
      </c>
      <c r="U30" s="1" t="s">
        <v>12</v>
      </c>
      <c r="V30" s="3" t="s">
        <v>83</v>
      </c>
    </row>
    <row r="31" spans="1:22" hidden="1" x14ac:dyDescent="0.3">
      <c r="A31" t="s">
        <v>41</v>
      </c>
      <c r="B31" t="s">
        <v>18</v>
      </c>
      <c r="C31" s="1">
        <v>6</v>
      </c>
      <c r="D31" s="1">
        <v>427</v>
      </c>
      <c r="E31" s="1">
        <v>219</v>
      </c>
      <c r="F31" s="6">
        <f>E31/D31*100</f>
        <v>51.288056206088996</v>
      </c>
      <c r="G31" s="1" t="str">
        <f>_xlfn.CONCAT(E31, "/", D31, " (", TEXT(ROUND(F31, 0), "0"), "%)")</f>
        <v>219/427 (51%)</v>
      </c>
      <c r="H31" s="1">
        <v>0</v>
      </c>
      <c r="I31" s="1" t="s">
        <v>12</v>
      </c>
      <c r="J31" s="1">
        <v>427</v>
      </c>
      <c r="K31" s="1">
        <v>8</v>
      </c>
      <c r="L31" s="1">
        <f t="shared" si="0"/>
        <v>1.873536299765808</v>
      </c>
      <c r="M31" s="1" t="str">
        <f t="shared" si="7"/>
        <v>8/427 (2%)</v>
      </c>
      <c r="N31" s="1">
        <v>427</v>
      </c>
      <c r="O31" s="1">
        <v>18</v>
      </c>
      <c r="P31" s="1">
        <f t="shared" si="1"/>
        <v>4.2154566744730682</v>
      </c>
      <c r="Q31" s="1" t="str">
        <f>_xlfn.CONCAT(O31, "/", N31, " (", TEXT(ROUND(P31, 0), "0"), "%)")</f>
        <v>18/427 (4%)</v>
      </c>
      <c r="R31" s="1">
        <v>427</v>
      </c>
      <c r="S31" s="1">
        <v>142</v>
      </c>
      <c r="T31" s="1">
        <f t="shared" si="2"/>
        <v>33.255269320843091</v>
      </c>
      <c r="U31" s="1" t="str">
        <f>_xlfn.CONCAT(S31, "/", R31, " (", TEXT(ROUND(T31, 0), "0"), "%)")</f>
        <v>142/427 (33%)</v>
      </c>
      <c r="V31" s="3" t="s">
        <v>43</v>
      </c>
    </row>
    <row r="32" spans="1:22" hidden="1" x14ac:dyDescent="0.3">
      <c r="A32" t="s">
        <v>41</v>
      </c>
      <c r="B32" t="s">
        <v>42</v>
      </c>
      <c r="C32" s="1">
        <v>6</v>
      </c>
      <c r="D32" s="1">
        <v>430</v>
      </c>
      <c r="E32" s="1">
        <v>231</v>
      </c>
      <c r="F32" s="6">
        <f>E32/D32*100</f>
        <v>53.720930232558139</v>
      </c>
      <c r="G32" s="1" t="str">
        <f>_xlfn.CONCAT(E32, "/", D32, " (", TEXT(ROUND(F32, 0), "0"), "%)")</f>
        <v>231/430 (54%)</v>
      </c>
      <c r="H32" s="1">
        <v>1</v>
      </c>
      <c r="I32" s="1" t="s">
        <v>12</v>
      </c>
      <c r="J32" s="1">
        <v>430</v>
      </c>
      <c r="K32" s="1">
        <v>13</v>
      </c>
      <c r="L32" s="1">
        <f t="shared" si="0"/>
        <v>3.0232558139534884</v>
      </c>
      <c r="M32" s="1" t="str">
        <f t="shared" si="7"/>
        <v>13/430 (3%)</v>
      </c>
      <c r="N32" s="1">
        <v>430</v>
      </c>
      <c r="O32" s="1">
        <v>13</v>
      </c>
      <c r="P32" s="1">
        <f t="shared" si="1"/>
        <v>3.0232558139534884</v>
      </c>
      <c r="Q32" s="1" t="str">
        <f>_xlfn.CONCAT(O32, "/", N32, " (", TEXT(ROUND(P32, 0), "0"), "%)")</f>
        <v>13/430 (3%)</v>
      </c>
      <c r="R32" s="1">
        <v>430</v>
      </c>
      <c r="S32" s="1">
        <v>143</v>
      </c>
      <c r="T32" s="1">
        <f t="shared" si="2"/>
        <v>33.255813953488371</v>
      </c>
      <c r="U32" s="1" t="str">
        <f>_xlfn.CONCAT(S32, "/", R32, " (", TEXT(ROUND(T32, 0), "0"), "%)")</f>
        <v>143/430 (33%)</v>
      </c>
      <c r="V32" s="3" t="s">
        <v>43</v>
      </c>
    </row>
    <row r="33" spans="1:22" hidden="1" x14ac:dyDescent="0.3">
      <c r="A33" t="s">
        <v>52</v>
      </c>
      <c r="B33" t="s">
        <v>18</v>
      </c>
      <c r="C33" s="1">
        <v>24</v>
      </c>
      <c r="D33" s="1">
        <v>351</v>
      </c>
      <c r="E33" s="1">
        <v>334</v>
      </c>
      <c r="F33" s="6">
        <f>E33/D33*100</f>
        <v>95.156695156695164</v>
      </c>
      <c r="G33" s="1" t="str">
        <f>_xlfn.CONCAT(E33, "/", D33, " (", TEXT(ROUND(F33, 0), "0"), "%)")</f>
        <v>334/351 (95%)</v>
      </c>
      <c r="H33" s="1">
        <v>1</v>
      </c>
      <c r="I33" s="1" t="s">
        <v>12</v>
      </c>
      <c r="J33" s="1">
        <v>351</v>
      </c>
      <c r="K33" s="1">
        <v>60</v>
      </c>
      <c r="L33" s="1">
        <f t="shared" si="0"/>
        <v>17.094017094017094</v>
      </c>
      <c r="M33" s="1" t="str">
        <f t="shared" si="7"/>
        <v>60/351 (17%)</v>
      </c>
      <c r="N33" s="1">
        <v>35</v>
      </c>
      <c r="O33" s="1" t="s">
        <v>12</v>
      </c>
      <c r="P33" s="1" t="e">
        <f t="shared" si="1"/>
        <v>#VALUE!</v>
      </c>
      <c r="Q33" s="1" t="s">
        <v>12</v>
      </c>
      <c r="R33" s="1"/>
      <c r="S33" s="1"/>
      <c r="T33" s="1" t="e">
        <f t="shared" si="2"/>
        <v>#DIV/0!</v>
      </c>
      <c r="U33" s="1" t="s">
        <v>12</v>
      </c>
      <c r="V33" s="3" t="s">
        <v>53</v>
      </c>
    </row>
    <row r="34" spans="1:22" hidden="1" x14ac:dyDescent="0.3">
      <c r="A34" t="s">
        <v>52</v>
      </c>
      <c r="B34" t="s">
        <v>20</v>
      </c>
      <c r="C34" s="1">
        <v>24</v>
      </c>
      <c r="D34" s="1">
        <v>363</v>
      </c>
      <c r="E34" s="1">
        <v>333</v>
      </c>
      <c r="F34" s="6">
        <f>E34/D34*100</f>
        <v>91.735537190082653</v>
      </c>
      <c r="G34" s="1" t="str">
        <f>_xlfn.CONCAT(E34, "/", D34, " (", TEXT(ROUND(F34, 0), "0"), "%)")</f>
        <v>333/363 (92%)</v>
      </c>
      <c r="H34" s="1">
        <v>1</v>
      </c>
      <c r="I34" s="1" t="s">
        <v>12</v>
      </c>
      <c r="J34" s="1">
        <v>363</v>
      </c>
      <c r="K34" s="1">
        <v>79</v>
      </c>
      <c r="L34" s="1">
        <f t="shared" ref="L34:L65" si="8">K34/J34*100</f>
        <v>21.763085399449036</v>
      </c>
      <c r="M34" s="1" t="str">
        <f t="shared" si="7"/>
        <v>79/363 (22%)</v>
      </c>
      <c r="N34" s="1">
        <v>38</v>
      </c>
      <c r="O34" s="1" t="s">
        <v>12</v>
      </c>
      <c r="P34" s="1" t="e">
        <f t="shared" ref="P34:P65" si="9">O34/N34*100</f>
        <v>#VALUE!</v>
      </c>
      <c r="Q34" s="1" t="s">
        <v>12</v>
      </c>
      <c r="R34" s="1"/>
      <c r="S34" s="1"/>
      <c r="T34" s="1" t="e">
        <f t="shared" ref="T34:T65" si="10">S34/R34*100</f>
        <v>#DIV/0!</v>
      </c>
      <c r="U34" s="1" t="s">
        <v>12</v>
      </c>
      <c r="V34" s="3" t="s">
        <v>53</v>
      </c>
    </row>
    <row r="35" spans="1:22" hidden="1" x14ac:dyDescent="0.3">
      <c r="A35" t="s">
        <v>69</v>
      </c>
      <c r="B35" t="s">
        <v>20</v>
      </c>
      <c r="C35" s="1">
        <v>24</v>
      </c>
      <c r="D35" s="1"/>
      <c r="E35" s="1"/>
      <c r="F35" s="6" t="e">
        <f t="shared" ref="F35:F43" si="11">D35/E35*100</f>
        <v>#DIV/0!</v>
      </c>
      <c r="G35" s="1" t="s">
        <v>12</v>
      </c>
      <c r="H35" s="1" t="s">
        <v>12</v>
      </c>
      <c r="I35" s="1" t="s">
        <v>12</v>
      </c>
      <c r="J35" s="1"/>
      <c r="K35" s="1"/>
      <c r="L35" s="1" t="e">
        <f t="shared" si="8"/>
        <v>#DIV/0!</v>
      </c>
      <c r="M35" s="1" t="s">
        <v>12</v>
      </c>
      <c r="N35" s="1">
        <v>126</v>
      </c>
      <c r="O35" s="1">
        <v>1</v>
      </c>
      <c r="P35" s="1">
        <f t="shared" si="9"/>
        <v>0.79365079365079361</v>
      </c>
      <c r="Q35" s="1" t="str">
        <f>_xlfn.CONCAT(O35, "/", N35, " (", TEXT(ROUND(P35, 0), "0"), "%)")</f>
        <v>1/126 (1%)</v>
      </c>
      <c r="R35" s="1"/>
      <c r="S35" s="1"/>
      <c r="T35" s="1" t="e">
        <f t="shared" si="10"/>
        <v>#DIV/0!</v>
      </c>
      <c r="U35" s="1" t="s">
        <v>12</v>
      </c>
      <c r="V35" s="3" t="s">
        <v>70</v>
      </c>
    </row>
    <row r="36" spans="1:22" hidden="1" x14ac:dyDescent="0.3">
      <c r="A36" t="s">
        <v>69</v>
      </c>
      <c r="B36" t="s">
        <v>18</v>
      </c>
      <c r="C36" s="1">
        <v>24</v>
      </c>
      <c r="D36" s="1"/>
      <c r="E36" s="1"/>
      <c r="F36" s="6" t="e">
        <f t="shared" si="11"/>
        <v>#DIV/0!</v>
      </c>
      <c r="G36" s="1" t="s">
        <v>12</v>
      </c>
      <c r="H36" s="1" t="s">
        <v>12</v>
      </c>
      <c r="I36" s="1" t="s">
        <v>12</v>
      </c>
      <c r="J36" s="1"/>
      <c r="K36" s="1"/>
      <c r="L36" s="1" t="e">
        <f t="shared" si="8"/>
        <v>#DIV/0!</v>
      </c>
      <c r="M36" s="1" t="s">
        <v>12</v>
      </c>
      <c r="N36" s="1">
        <v>125</v>
      </c>
      <c r="O36" s="1">
        <v>5</v>
      </c>
      <c r="P36" s="1">
        <f t="shared" si="9"/>
        <v>4</v>
      </c>
      <c r="Q36" s="1" t="str">
        <f>_xlfn.CONCAT(O36, "/", N36, " (", TEXT(ROUND(P36, 0), "0"), "%)")</f>
        <v>5/125 (4%)</v>
      </c>
      <c r="R36" s="1"/>
      <c r="S36" s="1"/>
      <c r="T36" s="1" t="e">
        <f t="shared" si="10"/>
        <v>#DIV/0!</v>
      </c>
      <c r="U36" s="1" t="s">
        <v>12</v>
      </c>
      <c r="V36" s="3" t="s">
        <v>70</v>
      </c>
    </row>
    <row r="37" spans="1:22" hidden="1" x14ac:dyDescent="0.3">
      <c r="A37" s="5" t="s">
        <v>51</v>
      </c>
      <c r="C37" s="1"/>
      <c r="D37" s="1"/>
      <c r="E37" s="1"/>
      <c r="F37" s="6" t="e">
        <f t="shared" si="11"/>
        <v>#DIV/0!</v>
      </c>
      <c r="G37" s="1" t="s">
        <v>12</v>
      </c>
      <c r="H37" s="1"/>
      <c r="I37" s="1"/>
      <c r="J37" s="1"/>
      <c r="K37" s="1"/>
      <c r="L37" s="1" t="e">
        <f t="shared" si="8"/>
        <v>#DIV/0!</v>
      </c>
      <c r="M37" s="1" t="s">
        <v>12</v>
      </c>
      <c r="N37" s="1"/>
      <c r="O37" s="1"/>
      <c r="P37" s="1" t="e">
        <f t="shared" si="9"/>
        <v>#DIV/0!</v>
      </c>
      <c r="Q37" s="1" t="s">
        <v>12</v>
      </c>
      <c r="R37" s="1"/>
      <c r="S37" s="1"/>
      <c r="T37" s="1" t="e">
        <f t="shared" si="10"/>
        <v>#DIV/0!</v>
      </c>
      <c r="U37" s="1" t="s">
        <v>12</v>
      </c>
    </row>
    <row r="38" spans="1:22" hidden="1" x14ac:dyDescent="0.3">
      <c r="A38" t="s">
        <v>34</v>
      </c>
      <c r="B38" t="s">
        <v>20</v>
      </c>
      <c r="C38" s="1">
        <v>9</v>
      </c>
      <c r="D38" s="1"/>
      <c r="E38" s="1"/>
      <c r="F38" s="6" t="e">
        <f t="shared" si="11"/>
        <v>#DIV/0!</v>
      </c>
      <c r="G38" s="1" t="s">
        <v>12</v>
      </c>
      <c r="H38" s="1" t="s">
        <v>12</v>
      </c>
      <c r="I38" s="1" t="s">
        <v>12</v>
      </c>
      <c r="J38" s="1">
        <v>120</v>
      </c>
      <c r="K38" s="1">
        <v>6</v>
      </c>
      <c r="L38" s="1">
        <f t="shared" si="8"/>
        <v>5</v>
      </c>
      <c r="M38" s="1" t="str">
        <f>_xlfn.CONCAT(K38, "/", J38, " (", TEXT(ROUND(L38, 0), "0"), "%)")</f>
        <v>6/120 (5%)</v>
      </c>
      <c r="N38" s="1">
        <v>120</v>
      </c>
      <c r="O38" s="1">
        <v>2</v>
      </c>
      <c r="P38" s="1">
        <f t="shared" si="9"/>
        <v>1.6666666666666667</v>
      </c>
      <c r="Q38" s="1" t="str">
        <f t="shared" ref="Q38:Q53" si="12">_xlfn.CONCAT(O38, "/", N38, " (", TEXT(ROUND(P38, 0), "0"), "%)")</f>
        <v>2/120 (2%)</v>
      </c>
      <c r="R38" s="1"/>
      <c r="S38" s="1"/>
      <c r="T38" s="1" t="e">
        <f t="shared" si="10"/>
        <v>#DIV/0!</v>
      </c>
      <c r="U38" s="1" t="s">
        <v>12</v>
      </c>
      <c r="V38" s="3" t="s">
        <v>35</v>
      </c>
    </row>
    <row r="39" spans="1:22" hidden="1" x14ac:dyDescent="0.3">
      <c r="A39" t="s">
        <v>34</v>
      </c>
      <c r="B39" t="s">
        <v>18</v>
      </c>
      <c r="C39" s="1">
        <v>9</v>
      </c>
      <c r="D39" s="1"/>
      <c r="E39" s="1"/>
      <c r="F39" s="6" t="e">
        <f t="shared" si="11"/>
        <v>#DIV/0!</v>
      </c>
      <c r="G39" s="1" t="s">
        <v>12</v>
      </c>
      <c r="H39" s="1" t="s">
        <v>12</v>
      </c>
      <c r="I39" s="1" t="s">
        <v>12</v>
      </c>
      <c r="J39" s="1">
        <v>119</v>
      </c>
      <c r="K39" s="1">
        <v>10</v>
      </c>
      <c r="L39" s="1">
        <f t="shared" si="8"/>
        <v>8.4033613445378155</v>
      </c>
      <c r="M39" s="1" t="str">
        <f>_xlfn.CONCAT(K39, "/", J39, " (", TEXT(ROUND(L39, 0), "0"), "%)")</f>
        <v>10/119 (8%)</v>
      </c>
      <c r="N39" s="1">
        <v>119</v>
      </c>
      <c r="O39" s="1">
        <v>3</v>
      </c>
      <c r="P39" s="1">
        <f t="shared" si="9"/>
        <v>2.5210084033613445</v>
      </c>
      <c r="Q39" s="1" t="str">
        <f t="shared" si="12"/>
        <v>3/119 (3%)</v>
      </c>
      <c r="R39" s="1"/>
      <c r="S39" s="1"/>
      <c r="T39" s="1" t="e">
        <f t="shared" si="10"/>
        <v>#DIV/0!</v>
      </c>
      <c r="U39" s="1" t="s">
        <v>12</v>
      </c>
      <c r="V39" s="3" t="s">
        <v>35</v>
      </c>
    </row>
    <row r="40" spans="1:22" hidden="1" x14ac:dyDescent="0.3">
      <c r="A40" t="s">
        <v>91</v>
      </c>
      <c r="B40" t="s">
        <v>17</v>
      </c>
      <c r="C40" s="1">
        <v>6</v>
      </c>
      <c r="D40" s="1"/>
      <c r="E40" s="1"/>
      <c r="F40" s="6" t="e">
        <f t="shared" si="11"/>
        <v>#DIV/0!</v>
      </c>
      <c r="G40" s="1" t="s">
        <v>12</v>
      </c>
      <c r="H40" s="1">
        <v>0</v>
      </c>
      <c r="I40" s="1" t="s">
        <v>12</v>
      </c>
      <c r="J40" s="1">
        <v>338</v>
      </c>
      <c r="K40" s="1">
        <v>18</v>
      </c>
      <c r="L40" s="1">
        <f t="shared" si="8"/>
        <v>5.3254437869822491</v>
      </c>
      <c r="M40" s="1" t="str">
        <f>_xlfn.CONCAT(K40, "/", J40, " (", TEXT(ROUND(L40, 0), "0"), "%)")</f>
        <v>18/338 (5%)</v>
      </c>
      <c r="N40" s="1">
        <v>338</v>
      </c>
      <c r="O40" s="1">
        <v>14</v>
      </c>
      <c r="P40" s="1">
        <f t="shared" si="9"/>
        <v>4.1420118343195274</v>
      </c>
      <c r="Q40" s="1" t="str">
        <f t="shared" si="12"/>
        <v>14/338 (4%)</v>
      </c>
      <c r="R40" s="1"/>
      <c r="S40" s="1"/>
      <c r="T40" s="1" t="e">
        <f t="shared" si="10"/>
        <v>#DIV/0!</v>
      </c>
      <c r="U40" s="1" t="s">
        <v>12</v>
      </c>
      <c r="V40" s="3" t="s">
        <v>92</v>
      </c>
    </row>
    <row r="41" spans="1:22" hidden="1" x14ac:dyDescent="0.3">
      <c r="A41" t="s">
        <v>91</v>
      </c>
      <c r="B41" t="s">
        <v>16</v>
      </c>
      <c r="C41" s="1">
        <v>6</v>
      </c>
      <c r="D41" s="1"/>
      <c r="E41" s="1"/>
      <c r="F41" s="6" t="e">
        <f t="shared" si="11"/>
        <v>#DIV/0!</v>
      </c>
      <c r="G41" s="1" t="s">
        <v>12</v>
      </c>
      <c r="H41" s="1">
        <v>1</v>
      </c>
      <c r="I41" s="1" t="s">
        <v>12</v>
      </c>
      <c r="J41" s="1">
        <v>339</v>
      </c>
      <c r="K41" s="1">
        <v>21</v>
      </c>
      <c r="L41" s="1">
        <f t="shared" si="8"/>
        <v>6.1946902654867255</v>
      </c>
      <c r="M41" s="1" t="str">
        <f>_xlfn.CONCAT(K41, "/", J41, " (", TEXT(ROUND(L41, 0), "0"), "%)")</f>
        <v>21/339 (6%)</v>
      </c>
      <c r="N41" s="1">
        <v>339</v>
      </c>
      <c r="O41" s="1">
        <v>16</v>
      </c>
      <c r="P41" s="1">
        <f t="shared" si="9"/>
        <v>4.71976401179941</v>
      </c>
      <c r="Q41" s="1" t="str">
        <f t="shared" si="12"/>
        <v>16/339 (5%)</v>
      </c>
      <c r="R41" s="1"/>
      <c r="S41" s="1"/>
      <c r="T41" s="1" t="e">
        <f t="shared" si="10"/>
        <v>#DIV/0!</v>
      </c>
      <c r="U41" s="1" t="s">
        <v>12</v>
      </c>
      <c r="V41" s="3" t="s">
        <v>92</v>
      </c>
    </row>
    <row r="42" spans="1:22" hidden="1" x14ac:dyDescent="0.3">
      <c r="A42" t="s">
        <v>91</v>
      </c>
      <c r="B42" t="s">
        <v>17</v>
      </c>
      <c r="C42" s="1">
        <v>16</v>
      </c>
      <c r="D42" s="1"/>
      <c r="E42" s="1"/>
      <c r="F42" s="6" t="e">
        <f t="shared" si="11"/>
        <v>#DIV/0!</v>
      </c>
      <c r="G42" s="1" t="s">
        <v>12</v>
      </c>
      <c r="H42" s="1" t="s">
        <v>12</v>
      </c>
      <c r="I42" s="1" t="s">
        <v>12</v>
      </c>
      <c r="J42" s="1"/>
      <c r="K42" s="1"/>
      <c r="L42" s="1" t="e">
        <f t="shared" si="8"/>
        <v>#DIV/0!</v>
      </c>
      <c r="M42" s="1" t="s">
        <v>12</v>
      </c>
      <c r="N42" s="1">
        <v>338</v>
      </c>
      <c r="O42" s="1">
        <v>18</v>
      </c>
      <c r="P42" s="1">
        <f t="shared" si="9"/>
        <v>5.3254437869822491</v>
      </c>
      <c r="Q42" s="1" t="str">
        <f t="shared" si="12"/>
        <v>18/338 (5%)</v>
      </c>
      <c r="R42" s="1"/>
      <c r="S42" s="1"/>
      <c r="T42" s="1" t="e">
        <f t="shared" si="10"/>
        <v>#DIV/0!</v>
      </c>
      <c r="U42" s="1" t="s">
        <v>12</v>
      </c>
      <c r="V42" s="3" t="s">
        <v>92</v>
      </c>
    </row>
    <row r="43" spans="1:22" hidden="1" x14ac:dyDescent="0.3">
      <c r="A43" t="s">
        <v>91</v>
      </c>
      <c r="B43" t="s">
        <v>16</v>
      </c>
      <c r="C43" s="1">
        <v>16</v>
      </c>
      <c r="D43" s="1"/>
      <c r="E43" s="1"/>
      <c r="F43" s="6" t="e">
        <f t="shared" si="11"/>
        <v>#DIV/0!</v>
      </c>
      <c r="G43" s="1" t="s">
        <v>12</v>
      </c>
      <c r="H43" s="1" t="s">
        <v>12</v>
      </c>
      <c r="I43" s="1" t="s">
        <v>12</v>
      </c>
      <c r="J43" s="1"/>
      <c r="K43" s="1"/>
      <c r="L43" s="1" t="e">
        <f t="shared" si="8"/>
        <v>#DIV/0!</v>
      </c>
      <c r="M43" s="1" t="s">
        <v>12</v>
      </c>
      <c r="N43" s="1">
        <v>339</v>
      </c>
      <c r="O43" s="1">
        <v>19</v>
      </c>
      <c r="P43" s="1">
        <f t="shared" si="9"/>
        <v>5.6047197640117989</v>
      </c>
      <c r="Q43" s="1" t="str">
        <f t="shared" si="12"/>
        <v>19/339 (6%)</v>
      </c>
      <c r="R43" s="1"/>
      <c r="S43" s="1"/>
      <c r="T43" s="1" t="e">
        <f t="shared" si="10"/>
        <v>#DIV/0!</v>
      </c>
      <c r="U43" s="1" t="s">
        <v>12</v>
      </c>
      <c r="V43" s="3" t="s">
        <v>92</v>
      </c>
    </row>
    <row r="44" spans="1:22" hidden="1" x14ac:dyDescent="0.3">
      <c r="A44" t="s">
        <v>76</v>
      </c>
      <c r="B44" t="s">
        <v>20</v>
      </c>
      <c r="C44" s="1">
        <v>24</v>
      </c>
      <c r="D44" s="1">
        <v>418</v>
      </c>
      <c r="E44" s="1">
        <v>387</v>
      </c>
      <c r="F44" s="6">
        <f t="shared" ref="F44:F53" si="13">E44/D44*100</f>
        <v>92.58373205741627</v>
      </c>
      <c r="G44" s="1" t="str">
        <f t="shared" ref="G44:G53" si="14">_xlfn.CONCAT(E44, "/", D44, " (", TEXT(ROUND(F44, 0), "0"), "%)")</f>
        <v>387/418 (93%)</v>
      </c>
      <c r="H44" s="1">
        <v>2</v>
      </c>
      <c r="I44" s="1" t="s">
        <v>12</v>
      </c>
      <c r="J44" s="1">
        <v>418</v>
      </c>
      <c r="K44" s="1">
        <v>56</v>
      </c>
      <c r="L44" s="1">
        <f t="shared" si="8"/>
        <v>13.397129186602871</v>
      </c>
      <c r="M44" s="1" t="str">
        <f t="shared" ref="M44:M55" si="15">_xlfn.CONCAT(K44, "/", J44, " (", TEXT(ROUND(L44, 0), "0"), "%)")</f>
        <v>56/418 (13%)</v>
      </c>
      <c r="N44" s="1">
        <v>418</v>
      </c>
      <c r="O44" s="1">
        <v>32</v>
      </c>
      <c r="P44" s="1">
        <f t="shared" si="9"/>
        <v>7.6555023923444976</v>
      </c>
      <c r="Q44" s="1" t="str">
        <f t="shared" si="12"/>
        <v>32/418 (8%)</v>
      </c>
      <c r="R44" s="1"/>
      <c r="S44" s="1"/>
      <c r="T44" s="1" t="e">
        <f t="shared" si="10"/>
        <v>#DIV/0!</v>
      </c>
      <c r="U44" s="1" t="s">
        <v>12</v>
      </c>
      <c r="V44" s="3" t="s">
        <v>77</v>
      </c>
    </row>
    <row r="45" spans="1:22" hidden="1" x14ac:dyDescent="0.3">
      <c r="A45" t="s">
        <v>76</v>
      </c>
      <c r="B45" t="s">
        <v>13</v>
      </c>
      <c r="C45" s="1">
        <v>24</v>
      </c>
      <c r="D45" s="1">
        <v>425</v>
      </c>
      <c r="E45" s="1">
        <v>401</v>
      </c>
      <c r="F45" s="6">
        <f t="shared" si="13"/>
        <v>94.35294117647058</v>
      </c>
      <c r="G45" s="1" t="str">
        <f t="shared" si="14"/>
        <v>401/425 (94%)</v>
      </c>
      <c r="H45" s="1">
        <v>0</v>
      </c>
      <c r="I45" s="1" t="s">
        <v>12</v>
      </c>
      <c r="J45" s="1">
        <v>425</v>
      </c>
      <c r="K45" s="1">
        <v>43</v>
      </c>
      <c r="L45" s="1">
        <f t="shared" si="8"/>
        <v>10.117647058823529</v>
      </c>
      <c r="M45" s="1" t="str">
        <f t="shared" si="15"/>
        <v>43/425 (10%)</v>
      </c>
      <c r="N45" s="1">
        <v>425</v>
      </c>
      <c r="O45" s="1">
        <v>32</v>
      </c>
      <c r="P45" s="1">
        <f t="shared" si="9"/>
        <v>7.5294117647058814</v>
      </c>
      <c r="Q45" s="1" t="str">
        <f t="shared" si="12"/>
        <v>32/425 (8%)</v>
      </c>
      <c r="R45" s="1"/>
      <c r="S45" s="1"/>
      <c r="T45" s="1" t="e">
        <f t="shared" si="10"/>
        <v>#DIV/0!</v>
      </c>
      <c r="U45" s="1" t="s">
        <v>12</v>
      </c>
      <c r="V45" s="3" t="s">
        <v>77</v>
      </c>
    </row>
    <row r="46" spans="1:22" hidden="1" x14ac:dyDescent="0.3">
      <c r="A46" t="s">
        <v>23</v>
      </c>
      <c r="B46" t="s">
        <v>20</v>
      </c>
      <c r="C46" s="1">
        <v>24</v>
      </c>
      <c r="D46" s="1">
        <v>355</v>
      </c>
      <c r="E46" s="1">
        <v>343</v>
      </c>
      <c r="F46" s="6">
        <f t="shared" si="13"/>
        <v>96.619718309859167</v>
      </c>
      <c r="G46" s="1" t="str">
        <f t="shared" si="14"/>
        <v>343/355 (97%)</v>
      </c>
      <c r="H46" s="1">
        <v>1</v>
      </c>
      <c r="I46" s="1" t="s">
        <v>12</v>
      </c>
      <c r="J46" s="1">
        <v>355</v>
      </c>
      <c r="K46" s="1">
        <v>45</v>
      </c>
      <c r="L46" s="1">
        <f t="shared" si="8"/>
        <v>12.676056338028168</v>
      </c>
      <c r="M46" s="1" t="str">
        <f t="shared" si="15"/>
        <v>45/355 (13%)</v>
      </c>
      <c r="N46" s="1">
        <v>355</v>
      </c>
      <c r="O46" s="1">
        <v>37</v>
      </c>
      <c r="P46" s="1">
        <f t="shared" si="9"/>
        <v>10.422535211267606</v>
      </c>
      <c r="Q46" s="1" t="str">
        <f t="shared" si="12"/>
        <v>37/355 (10%)</v>
      </c>
      <c r="R46" s="1"/>
      <c r="S46" s="1"/>
      <c r="T46" s="1" t="e">
        <f t="shared" si="10"/>
        <v>#DIV/0!</v>
      </c>
      <c r="U46" s="1" t="s">
        <v>12</v>
      </c>
    </row>
    <row r="47" spans="1:22" hidden="1" x14ac:dyDescent="0.3">
      <c r="A47" t="s">
        <v>23</v>
      </c>
      <c r="B47" t="s">
        <v>13</v>
      </c>
      <c r="C47" s="1">
        <v>24</v>
      </c>
      <c r="D47" s="1">
        <v>358</v>
      </c>
      <c r="E47" s="1">
        <v>350</v>
      </c>
      <c r="F47" s="6">
        <f t="shared" si="13"/>
        <v>97.765363128491629</v>
      </c>
      <c r="G47" s="1" t="str">
        <f t="shared" si="14"/>
        <v>350/358 (98%)</v>
      </c>
      <c r="H47" s="1">
        <v>0</v>
      </c>
      <c r="I47" s="1" t="s">
        <v>12</v>
      </c>
      <c r="J47" s="1">
        <v>358</v>
      </c>
      <c r="K47" s="1">
        <v>53</v>
      </c>
      <c r="L47" s="1">
        <f t="shared" si="8"/>
        <v>14.804469273743019</v>
      </c>
      <c r="M47" s="1" t="str">
        <f t="shared" si="15"/>
        <v>53/358 (15%)</v>
      </c>
      <c r="N47" s="1">
        <v>358</v>
      </c>
      <c r="O47" s="1">
        <v>66</v>
      </c>
      <c r="P47" s="1">
        <f t="shared" si="9"/>
        <v>18.435754189944134</v>
      </c>
      <c r="Q47" s="1" t="str">
        <f t="shared" si="12"/>
        <v>66/358 (18%)</v>
      </c>
      <c r="R47" s="1"/>
      <c r="S47" s="1"/>
      <c r="T47" s="1" t="e">
        <f t="shared" si="10"/>
        <v>#DIV/0!</v>
      </c>
      <c r="U47" s="1" t="s">
        <v>12</v>
      </c>
    </row>
    <row r="48" spans="1:22" hidden="1" x14ac:dyDescent="0.3">
      <c r="A48" t="s">
        <v>78</v>
      </c>
      <c r="B48" t="s">
        <v>42</v>
      </c>
      <c r="C48" s="1">
        <v>12</v>
      </c>
      <c r="D48" s="1">
        <v>943</v>
      </c>
      <c r="E48" s="4">
        <v>680</v>
      </c>
      <c r="F48" s="6">
        <f t="shared" si="13"/>
        <v>72.110286320254502</v>
      </c>
      <c r="G48" s="1" t="str">
        <f t="shared" si="14"/>
        <v>680/943 (72%)</v>
      </c>
      <c r="H48" s="1">
        <v>0</v>
      </c>
      <c r="I48" s="1" t="s">
        <v>12</v>
      </c>
      <c r="J48" s="1">
        <v>943</v>
      </c>
      <c r="K48" s="1">
        <v>42</v>
      </c>
      <c r="L48" s="1">
        <f t="shared" si="8"/>
        <v>4.4538706256627787</v>
      </c>
      <c r="M48" s="1" t="str">
        <f t="shared" si="15"/>
        <v>42/943 (4%)</v>
      </c>
      <c r="N48" s="1">
        <v>943</v>
      </c>
      <c r="O48" s="1">
        <v>29</v>
      </c>
      <c r="P48" s="1">
        <f t="shared" si="9"/>
        <v>3.0752916224814424</v>
      </c>
      <c r="Q48" s="1" t="str">
        <f t="shared" si="12"/>
        <v>29/943 (3%)</v>
      </c>
      <c r="R48" s="1"/>
      <c r="S48" s="1"/>
      <c r="T48" s="1" t="e">
        <f t="shared" si="10"/>
        <v>#DIV/0!</v>
      </c>
      <c r="U48" s="1" t="s">
        <v>12</v>
      </c>
      <c r="V48" s="3" t="s">
        <v>79</v>
      </c>
    </row>
    <row r="49" spans="1:22" hidden="1" x14ac:dyDescent="0.3">
      <c r="A49" t="s">
        <v>78</v>
      </c>
      <c r="B49" t="s">
        <v>20</v>
      </c>
      <c r="C49" s="1">
        <v>12</v>
      </c>
      <c r="D49" s="1">
        <v>461</v>
      </c>
      <c r="E49" s="4">
        <v>284</v>
      </c>
      <c r="F49" s="6">
        <f t="shared" si="13"/>
        <v>61.605206073752719</v>
      </c>
      <c r="G49" s="1" t="str">
        <f t="shared" si="14"/>
        <v>284/461 (62%)</v>
      </c>
      <c r="H49" s="1">
        <v>1</v>
      </c>
      <c r="I49" s="1" t="s">
        <v>12</v>
      </c>
      <c r="J49" s="1">
        <v>461</v>
      </c>
      <c r="K49" s="1">
        <v>21</v>
      </c>
      <c r="L49" s="1">
        <f t="shared" si="8"/>
        <v>4.5553145336225596</v>
      </c>
      <c r="M49" s="1" t="str">
        <f t="shared" si="15"/>
        <v>21/461 (5%)</v>
      </c>
      <c r="N49" s="1">
        <v>461</v>
      </c>
      <c r="O49" s="1">
        <v>6</v>
      </c>
      <c r="P49" s="1">
        <f t="shared" si="9"/>
        <v>1.3015184381778742</v>
      </c>
      <c r="Q49" s="1" t="str">
        <f t="shared" si="12"/>
        <v>6/461 (1%)</v>
      </c>
      <c r="R49" s="1"/>
      <c r="S49" s="1"/>
      <c r="T49" s="1" t="e">
        <f t="shared" si="10"/>
        <v>#DIV/0!</v>
      </c>
      <c r="U49" s="1" t="s">
        <v>12</v>
      </c>
      <c r="V49" s="3" t="s">
        <v>79</v>
      </c>
    </row>
    <row r="50" spans="1:22" hidden="1" x14ac:dyDescent="0.3">
      <c r="A50" t="s">
        <v>24</v>
      </c>
      <c r="B50" t="s">
        <v>20</v>
      </c>
      <c r="C50" s="1">
        <v>9</v>
      </c>
      <c r="D50" s="1">
        <v>84</v>
      </c>
      <c r="E50" s="1">
        <v>47</v>
      </c>
      <c r="F50" s="6">
        <f t="shared" si="13"/>
        <v>55.952380952380956</v>
      </c>
      <c r="G50" s="1" t="str">
        <f t="shared" si="14"/>
        <v>47/84 (56%)</v>
      </c>
      <c r="H50" s="1" t="s">
        <v>12</v>
      </c>
      <c r="I50" s="1" t="s">
        <v>12</v>
      </c>
      <c r="J50" s="1">
        <v>84</v>
      </c>
      <c r="K50" s="1">
        <v>2</v>
      </c>
      <c r="L50" s="1">
        <f t="shared" si="8"/>
        <v>2.3809523809523809</v>
      </c>
      <c r="M50" s="1" t="str">
        <f t="shared" si="15"/>
        <v>2/84 (2%)</v>
      </c>
      <c r="N50" s="1">
        <v>84</v>
      </c>
      <c r="O50" s="1">
        <v>2</v>
      </c>
      <c r="P50" s="1">
        <f t="shared" si="9"/>
        <v>2.3809523809523809</v>
      </c>
      <c r="Q50" s="1" t="str">
        <f t="shared" si="12"/>
        <v>2/84 (2%)</v>
      </c>
      <c r="R50" s="1"/>
      <c r="S50" s="1"/>
      <c r="T50" s="1" t="e">
        <f t="shared" si="10"/>
        <v>#DIV/0!</v>
      </c>
      <c r="U50" s="1" t="s">
        <v>12</v>
      </c>
      <c r="V50" s="3" t="s">
        <v>25</v>
      </c>
    </row>
    <row r="51" spans="1:22" hidden="1" x14ac:dyDescent="0.3">
      <c r="A51" t="s">
        <v>24</v>
      </c>
      <c r="B51" t="s">
        <v>18</v>
      </c>
      <c r="C51" s="1">
        <v>9</v>
      </c>
      <c r="D51" s="1">
        <v>357</v>
      </c>
      <c r="E51" s="1">
        <v>194</v>
      </c>
      <c r="F51" s="6">
        <f t="shared" si="13"/>
        <v>54.34173669467787</v>
      </c>
      <c r="G51" s="1" t="str">
        <f t="shared" si="14"/>
        <v>194/357 (54%)</v>
      </c>
      <c r="H51" s="1" t="s">
        <v>12</v>
      </c>
      <c r="I51" s="1" t="s">
        <v>12</v>
      </c>
      <c r="J51" s="1">
        <v>357</v>
      </c>
      <c r="K51" s="1">
        <v>17</v>
      </c>
      <c r="L51" s="1">
        <f t="shared" si="8"/>
        <v>4.7619047619047619</v>
      </c>
      <c r="M51" s="1" t="str">
        <f t="shared" si="15"/>
        <v>17/357 (5%)</v>
      </c>
      <c r="N51" s="1">
        <v>357</v>
      </c>
      <c r="O51" s="1">
        <v>4</v>
      </c>
      <c r="P51" s="1">
        <f t="shared" si="9"/>
        <v>1.1204481792717087</v>
      </c>
      <c r="Q51" s="1" t="str">
        <f t="shared" si="12"/>
        <v>4/357 (1%)</v>
      </c>
      <c r="R51" s="1"/>
      <c r="S51" s="1"/>
      <c r="T51" s="1" t="e">
        <f t="shared" si="10"/>
        <v>#DIV/0!</v>
      </c>
      <c r="U51" s="1" t="s">
        <v>12</v>
      </c>
      <c r="V51" s="3" t="s">
        <v>25</v>
      </c>
    </row>
    <row r="52" spans="1:22" hidden="1" x14ac:dyDescent="0.3">
      <c r="A52" t="s">
        <v>36</v>
      </c>
      <c r="B52" t="s">
        <v>38</v>
      </c>
      <c r="C52" s="1">
        <v>18</v>
      </c>
      <c r="D52" s="1">
        <v>47</v>
      </c>
      <c r="E52" s="1">
        <v>28</v>
      </c>
      <c r="F52" s="6">
        <f t="shared" si="13"/>
        <v>59.574468085106382</v>
      </c>
      <c r="G52" s="1" t="str">
        <f t="shared" si="14"/>
        <v>28/47 (60%)</v>
      </c>
      <c r="H52" s="1">
        <v>0</v>
      </c>
      <c r="I52" s="1" t="s">
        <v>12</v>
      </c>
      <c r="J52" s="1">
        <v>47</v>
      </c>
      <c r="K52" s="1">
        <v>1</v>
      </c>
      <c r="L52" s="1">
        <f t="shared" si="8"/>
        <v>2.1276595744680851</v>
      </c>
      <c r="M52" s="1" t="str">
        <f t="shared" si="15"/>
        <v>1/47 (2%)</v>
      </c>
      <c r="N52" s="1">
        <v>47</v>
      </c>
      <c r="O52" s="1">
        <v>3</v>
      </c>
      <c r="P52" s="1">
        <f t="shared" si="9"/>
        <v>6.3829787234042552</v>
      </c>
      <c r="Q52" s="1" t="str">
        <f t="shared" si="12"/>
        <v>3/47 (6%)</v>
      </c>
      <c r="R52" s="1">
        <v>10</v>
      </c>
      <c r="S52" s="1" t="s">
        <v>12</v>
      </c>
      <c r="T52" s="1" t="e">
        <f t="shared" si="10"/>
        <v>#VALUE!</v>
      </c>
      <c r="U52" s="1" t="s">
        <v>12</v>
      </c>
      <c r="V52" s="3" t="s">
        <v>37</v>
      </c>
    </row>
    <row r="53" spans="1:22" hidden="1" x14ac:dyDescent="0.3">
      <c r="A53" t="s">
        <v>36</v>
      </c>
      <c r="B53" t="s">
        <v>13</v>
      </c>
      <c r="C53" s="1">
        <v>18</v>
      </c>
      <c r="D53" s="1">
        <v>104</v>
      </c>
      <c r="E53" s="1">
        <v>83</v>
      </c>
      <c r="F53" s="6">
        <f t="shared" si="13"/>
        <v>79.807692307692307</v>
      </c>
      <c r="G53" s="1" t="str">
        <f t="shared" si="14"/>
        <v>83/104 (80%)</v>
      </c>
      <c r="H53" s="1">
        <v>0</v>
      </c>
      <c r="I53" s="1" t="s">
        <v>12</v>
      </c>
      <c r="J53" s="1">
        <v>104</v>
      </c>
      <c r="K53" s="1">
        <v>9</v>
      </c>
      <c r="L53" s="1">
        <f t="shared" si="8"/>
        <v>8.6538461538461533</v>
      </c>
      <c r="M53" s="1" t="str">
        <f t="shared" si="15"/>
        <v>9/104 (9%)</v>
      </c>
      <c r="N53" s="1">
        <v>104</v>
      </c>
      <c r="O53" s="1">
        <v>5</v>
      </c>
      <c r="P53" s="1">
        <f t="shared" si="9"/>
        <v>4.8076923076923084</v>
      </c>
      <c r="Q53" s="1" t="str">
        <f t="shared" si="12"/>
        <v>5/104 (5%)</v>
      </c>
      <c r="R53" s="1">
        <v>37</v>
      </c>
      <c r="S53" s="1" t="s">
        <v>12</v>
      </c>
      <c r="T53" s="1" t="e">
        <f t="shared" si="10"/>
        <v>#VALUE!</v>
      </c>
      <c r="U53" s="1" t="s">
        <v>12</v>
      </c>
      <c r="V53" s="3" t="s">
        <v>37</v>
      </c>
    </row>
    <row r="54" spans="1:22" hidden="1" x14ac:dyDescent="0.3">
      <c r="A54" t="s">
        <v>44</v>
      </c>
      <c r="B54" t="s">
        <v>20</v>
      </c>
      <c r="C54" s="1">
        <v>4</v>
      </c>
      <c r="D54" s="1"/>
      <c r="E54" s="1"/>
      <c r="F54" s="6" t="e">
        <f>D54/E54*100</f>
        <v>#DIV/0!</v>
      </c>
      <c r="G54" s="1" t="s">
        <v>12</v>
      </c>
      <c r="H54" s="1" t="s">
        <v>12</v>
      </c>
      <c r="I54" s="1" t="s">
        <v>12</v>
      </c>
      <c r="J54" s="1">
        <v>60</v>
      </c>
      <c r="K54" s="1">
        <v>3</v>
      </c>
      <c r="L54" s="1">
        <f t="shared" si="8"/>
        <v>5</v>
      </c>
      <c r="M54" s="1" t="str">
        <f t="shared" si="15"/>
        <v>3/60 (5%)</v>
      </c>
      <c r="N54" s="1"/>
      <c r="O54" s="1"/>
      <c r="P54" s="1" t="e">
        <f t="shared" si="9"/>
        <v>#DIV/0!</v>
      </c>
      <c r="Q54" s="1" t="s">
        <v>12</v>
      </c>
      <c r="R54" s="1"/>
      <c r="S54" s="1"/>
      <c r="T54" s="1" t="e">
        <f t="shared" si="10"/>
        <v>#DIV/0!</v>
      </c>
      <c r="U54" s="1" t="s">
        <v>12</v>
      </c>
    </row>
    <row r="55" spans="1:22" hidden="1" x14ac:dyDescent="0.3">
      <c r="A55" t="s">
        <v>44</v>
      </c>
      <c r="B55" t="s">
        <v>16</v>
      </c>
      <c r="C55" s="1">
        <v>4</v>
      </c>
      <c r="D55" s="1"/>
      <c r="E55" s="1"/>
      <c r="F55" s="6" t="e">
        <f>D55/E55*100</f>
        <v>#DIV/0!</v>
      </c>
      <c r="G55" s="1" t="s">
        <v>12</v>
      </c>
      <c r="H55" s="1" t="s">
        <v>12</v>
      </c>
      <c r="I55" s="1" t="s">
        <v>12</v>
      </c>
      <c r="J55" s="1">
        <v>120</v>
      </c>
      <c r="K55" s="1">
        <v>4</v>
      </c>
      <c r="L55" s="1">
        <f t="shared" si="8"/>
        <v>3.3333333333333335</v>
      </c>
      <c r="M55" s="1" t="str">
        <f t="shared" si="15"/>
        <v>4/120 (3%)</v>
      </c>
      <c r="N55" s="1"/>
      <c r="O55" s="1"/>
      <c r="P55" s="1" t="e">
        <f t="shared" si="9"/>
        <v>#DIV/0!</v>
      </c>
      <c r="Q55" s="1" t="s">
        <v>12</v>
      </c>
      <c r="R55" s="1"/>
      <c r="S55" s="1"/>
      <c r="T55" s="1" t="e">
        <f t="shared" si="10"/>
        <v>#DIV/0!</v>
      </c>
      <c r="U55" s="1" t="s">
        <v>12</v>
      </c>
    </row>
    <row r="56" spans="1:22" hidden="1" x14ac:dyDescent="0.3">
      <c r="A56" s="5" t="s">
        <v>46</v>
      </c>
      <c r="C56" s="1"/>
      <c r="D56" s="1"/>
      <c r="E56" s="1"/>
      <c r="F56" s="6" t="e">
        <f>D56/E56*100</f>
        <v>#DIV/0!</v>
      </c>
      <c r="G56" s="1" t="s">
        <v>12</v>
      </c>
      <c r="H56" s="1"/>
      <c r="I56" s="1"/>
      <c r="J56" s="1"/>
      <c r="K56" s="1"/>
      <c r="L56" s="1" t="e">
        <f t="shared" si="8"/>
        <v>#DIV/0!</v>
      </c>
      <c r="M56" s="1" t="s">
        <v>12</v>
      </c>
      <c r="N56" s="1"/>
      <c r="O56" s="1"/>
      <c r="P56" s="1" t="e">
        <f t="shared" si="9"/>
        <v>#DIV/0!</v>
      </c>
      <c r="Q56" s="1" t="s">
        <v>12</v>
      </c>
      <c r="R56" s="1"/>
      <c r="S56" s="1"/>
      <c r="T56" s="1" t="e">
        <f t="shared" si="10"/>
        <v>#DIV/0!</v>
      </c>
      <c r="U56" s="1" t="s">
        <v>12</v>
      </c>
      <c r="V56" s="3" t="s">
        <v>47</v>
      </c>
    </row>
    <row r="57" spans="1:22" hidden="1" x14ac:dyDescent="0.3">
      <c r="A57" t="s">
        <v>74</v>
      </c>
      <c r="B57" t="s">
        <v>63</v>
      </c>
      <c r="C57" s="1">
        <v>6</v>
      </c>
      <c r="D57" s="1">
        <v>55</v>
      </c>
      <c r="E57" s="1">
        <v>34</v>
      </c>
      <c r="F57" s="6">
        <f>E57/D57*100</f>
        <v>61.818181818181813</v>
      </c>
      <c r="G57" s="1" t="str">
        <f>_xlfn.CONCAT(E57, "/", D57, " (", TEXT(ROUND(F57, 0), "0"), "%)")</f>
        <v>34/55 (62%)</v>
      </c>
      <c r="H57" s="1">
        <v>0</v>
      </c>
      <c r="I57" s="1" t="s">
        <v>12</v>
      </c>
      <c r="J57" s="1">
        <v>55</v>
      </c>
      <c r="K57" s="1">
        <v>1</v>
      </c>
      <c r="L57" s="1">
        <f t="shared" si="8"/>
        <v>1.8181818181818181</v>
      </c>
      <c r="M57" s="1" t="str">
        <f>_xlfn.CONCAT(K57, "/", J57, " (", TEXT(ROUND(L57, 0), "0"), "%)")</f>
        <v>1/55 (2%)</v>
      </c>
      <c r="N57" s="1">
        <v>55</v>
      </c>
      <c r="O57" s="1">
        <v>2</v>
      </c>
      <c r="P57" s="1">
        <f t="shared" si="9"/>
        <v>3.6363636363636362</v>
      </c>
      <c r="Q57" s="1" t="str">
        <f>_xlfn.CONCAT(O57, "/", N57, " (", TEXT(ROUND(P57, 0), "0"), "%)")</f>
        <v>2/55 (4%)</v>
      </c>
      <c r="R57" s="1">
        <v>55</v>
      </c>
      <c r="S57" s="1">
        <v>17</v>
      </c>
      <c r="T57" s="1">
        <f t="shared" si="10"/>
        <v>30.909090909090907</v>
      </c>
      <c r="U57" s="1" t="str">
        <f>_xlfn.CONCAT(S57, "/", R57, " (", TEXT(ROUND(T57, 0), "0"), "%)")</f>
        <v>17/55 (31%)</v>
      </c>
      <c r="V57" s="3" t="s">
        <v>75</v>
      </c>
    </row>
    <row r="58" spans="1:22" hidden="1" x14ac:dyDescent="0.3">
      <c r="A58" t="s">
        <v>74</v>
      </c>
      <c r="B58" t="s">
        <v>17</v>
      </c>
      <c r="C58" s="1">
        <v>6</v>
      </c>
      <c r="D58" s="1">
        <v>54</v>
      </c>
      <c r="E58" s="1">
        <v>30</v>
      </c>
      <c r="F58" s="6">
        <f>E58/D58*100</f>
        <v>55.555555555555557</v>
      </c>
      <c r="G58" s="1" t="str">
        <f>_xlfn.CONCAT(E58, "/", D58, " (", TEXT(ROUND(F58, 0), "0"), "%)")</f>
        <v>30/54 (56%)</v>
      </c>
      <c r="H58" s="1">
        <v>0</v>
      </c>
      <c r="I58" s="1" t="s">
        <v>12</v>
      </c>
      <c r="J58" s="1">
        <v>54</v>
      </c>
      <c r="K58" s="1">
        <v>2</v>
      </c>
      <c r="L58" s="1">
        <f t="shared" si="8"/>
        <v>3.7037037037037033</v>
      </c>
      <c r="M58" s="1" t="str">
        <f>_xlfn.CONCAT(K58, "/", J58, " (", TEXT(ROUND(L58, 0), "0"), "%)")</f>
        <v>2/54 (4%)</v>
      </c>
      <c r="N58" s="1">
        <v>54</v>
      </c>
      <c r="O58" s="1">
        <v>1</v>
      </c>
      <c r="P58" s="1">
        <f t="shared" si="9"/>
        <v>1.8518518518518516</v>
      </c>
      <c r="Q58" s="1" t="str">
        <f>_xlfn.CONCAT(O58, "/", N58, " (", TEXT(ROUND(P58, 0), "0"), "%)")</f>
        <v>1/54 (2%)</v>
      </c>
      <c r="R58" s="1">
        <v>54</v>
      </c>
      <c r="S58" s="1">
        <v>19</v>
      </c>
      <c r="T58" s="1">
        <f t="shared" si="10"/>
        <v>35.185185185185183</v>
      </c>
      <c r="U58" s="1" t="str">
        <f>_xlfn.CONCAT(S58, "/", R58, " (", TEXT(ROUND(T58, 0), "0"), "%)")</f>
        <v>19/54 (35%)</v>
      </c>
      <c r="V58" s="3" t="s">
        <v>75</v>
      </c>
    </row>
    <row r="59" spans="1:22" hidden="1" x14ac:dyDescent="0.3">
      <c r="A59" t="s">
        <v>74</v>
      </c>
      <c r="B59" t="s">
        <v>20</v>
      </c>
      <c r="C59" s="1">
        <v>6</v>
      </c>
      <c r="D59" s="1">
        <v>54</v>
      </c>
      <c r="E59" s="1">
        <v>38</v>
      </c>
      <c r="F59" s="6">
        <f>E59/D59*100</f>
        <v>70.370370370370367</v>
      </c>
      <c r="G59" s="1" t="str">
        <f>_xlfn.CONCAT(E59, "/", D59, " (", TEXT(ROUND(F59, 0), "0"), "%)")</f>
        <v>38/54 (70%)</v>
      </c>
      <c r="H59" s="1">
        <v>0</v>
      </c>
      <c r="I59" s="1" t="s">
        <v>12</v>
      </c>
      <c r="J59" s="1">
        <v>54</v>
      </c>
      <c r="K59" s="1">
        <v>2</v>
      </c>
      <c r="L59" s="1">
        <f t="shared" si="8"/>
        <v>3.7037037037037033</v>
      </c>
      <c r="M59" s="1" t="str">
        <f>_xlfn.CONCAT(K59, "/", J59, " (", TEXT(ROUND(L59, 0), "0"), "%)")</f>
        <v>2/54 (4%)</v>
      </c>
      <c r="N59" s="1">
        <v>54</v>
      </c>
      <c r="O59" s="1">
        <v>0</v>
      </c>
      <c r="P59" s="1">
        <f t="shared" si="9"/>
        <v>0</v>
      </c>
      <c r="Q59" s="1" t="str">
        <f>_xlfn.CONCAT(O59, "/", N59, " (", TEXT(ROUND(P59, 0), "0"), "%)")</f>
        <v>0/54 (0%)</v>
      </c>
      <c r="R59" s="1">
        <v>54</v>
      </c>
      <c r="S59" s="1">
        <v>25</v>
      </c>
      <c r="T59" s="1">
        <f t="shared" si="10"/>
        <v>46.296296296296298</v>
      </c>
      <c r="U59" s="1" t="str">
        <f>_xlfn.CONCAT(S59, "/", R59, " (", TEXT(ROUND(T59, 0), "0"), "%)")</f>
        <v>25/54 (46%)</v>
      </c>
      <c r="V59" s="3" t="s">
        <v>75</v>
      </c>
    </row>
    <row r="60" spans="1:22" hidden="1" x14ac:dyDescent="0.3">
      <c r="A60" s="5" t="s">
        <v>9</v>
      </c>
      <c r="C60" s="1"/>
      <c r="D60" s="1"/>
      <c r="E60" s="1"/>
      <c r="F60" s="6" t="e">
        <f>D60/E60*100</f>
        <v>#DIV/0!</v>
      </c>
      <c r="G60" s="1" t="s">
        <v>12</v>
      </c>
      <c r="H60" s="1"/>
      <c r="I60" s="1"/>
      <c r="J60" s="1"/>
      <c r="K60" s="1"/>
      <c r="L60" s="1" t="e">
        <f t="shared" si="8"/>
        <v>#DIV/0!</v>
      </c>
      <c r="M60" s="1" t="s">
        <v>12</v>
      </c>
      <c r="N60" s="1"/>
      <c r="O60" s="1"/>
      <c r="P60" s="1" t="e">
        <f t="shared" si="9"/>
        <v>#DIV/0!</v>
      </c>
      <c r="Q60" s="1" t="s">
        <v>12</v>
      </c>
      <c r="R60" s="1"/>
      <c r="S60" s="1"/>
      <c r="T60" s="1" t="e">
        <f t="shared" si="10"/>
        <v>#DIV/0!</v>
      </c>
      <c r="U60" s="1" t="s">
        <v>12</v>
      </c>
    </row>
    <row r="61" spans="1:22" hidden="1" x14ac:dyDescent="0.3">
      <c r="A61" t="s">
        <v>62</v>
      </c>
      <c r="B61" t="s">
        <v>63</v>
      </c>
      <c r="C61" s="1">
        <v>24</v>
      </c>
      <c r="D61" s="1">
        <v>408</v>
      </c>
      <c r="E61" s="1">
        <v>327</v>
      </c>
      <c r="F61" s="6">
        <f t="shared" ref="F61:F70" si="16">E61/D61*100</f>
        <v>80.14705882352942</v>
      </c>
      <c r="G61" s="1" t="str">
        <f t="shared" ref="G61:G70" si="17">_xlfn.CONCAT(E61, "/", D61, " (", TEXT(ROUND(F61, 0), "0"), "%)")</f>
        <v>327/408 (80%)</v>
      </c>
      <c r="H61" s="1">
        <v>0</v>
      </c>
      <c r="I61" s="1" t="s">
        <v>12</v>
      </c>
      <c r="J61" s="1">
        <v>408</v>
      </c>
      <c r="K61" s="1">
        <v>28</v>
      </c>
      <c r="L61" s="1">
        <f t="shared" si="8"/>
        <v>6.8627450980392162</v>
      </c>
      <c r="M61" s="1" t="str">
        <f t="shared" ref="M61:M70" si="18">_xlfn.CONCAT(K61, "/", J61, " (", TEXT(ROUND(L61, 0), "0"), "%)")</f>
        <v>28/408 (7%)</v>
      </c>
      <c r="N61" s="1">
        <v>13</v>
      </c>
      <c r="O61" s="1"/>
      <c r="P61" s="1">
        <f t="shared" si="9"/>
        <v>0</v>
      </c>
      <c r="Q61" s="1" t="s">
        <v>12</v>
      </c>
      <c r="R61" s="1"/>
      <c r="S61" s="1"/>
      <c r="T61" s="1" t="e">
        <f t="shared" si="10"/>
        <v>#DIV/0!</v>
      </c>
      <c r="U61" s="1" t="s">
        <v>12</v>
      </c>
      <c r="V61" s="3" t="s">
        <v>64</v>
      </c>
    </row>
    <row r="62" spans="1:22" hidden="1" x14ac:dyDescent="0.3">
      <c r="A62" t="s">
        <v>62</v>
      </c>
      <c r="B62" t="s">
        <v>63</v>
      </c>
      <c r="C62" s="1">
        <v>24</v>
      </c>
      <c r="D62" s="1">
        <v>417</v>
      </c>
      <c r="E62" s="1">
        <v>360</v>
      </c>
      <c r="F62" s="6">
        <f t="shared" si="16"/>
        <v>86.330935251798564</v>
      </c>
      <c r="G62" s="1" t="str">
        <f t="shared" si="17"/>
        <v>360/417 (86%)</v>
      </c>
      <c r="H62" s="1">
        <v>1</v>
      </c>
      <c r="I62" s="1" t="s">
        <v>12</v>
      </c>
      <c r="J62" s="1">
        <v>417</v>
      </c>
      <c r="K62" s="1">
        <v>29</v>
      </c>
      <c r="L62" s="1">
        <f t="shared" si="8"/>
        <v>6.9544364508393279</v>
      </c>
      <c r="M62" s="1" t="str">
        <f t="shared" si="18"/>
        <v>29/417 (7%)</v>
      </c>
      <c r="N62" s="1">
        <v>16</v>
      </c>
      <c r="O62" s="1"/>
      <c r="P62" s="1">
        <f t="shared" si="9"/>
        <v>0</v>
      </c>
      <c r="Q62" s="1" t="s">
        <v>12</v>
      </c>
      <c r="R62" s="1"/>
      <c r="S62" s="1"/>
      <c r="T62" s="1" t="e">
        <f t="shared" si="10"/>
        <v>#DIV/0!</v>
      </c>
      <c r="U62" s="1" t="s">
        <v>12</v>
      </c>
      <c r="V62" s="3" t="s">
        <v>64</v>
      </c>
    </row>
    <row r="63" spans="1:22" hidden="1" x14ac:dyDescent="0.3">
      <c r="A63" t="s">
        <v>62</v>
      </c>
      <c r="B63" t="s">
        <v>16</v>
      </c>
      <c r="C63" s="1">
        <v>24</v>
      </c>
      <c r="D63" s="1">
        <v>417</v>
      </c>
      <c r="E63" s="1">
        <v>357</v>
      </c>
      <c r="F63" s="6">
        <f t="shared" si="16"/>
        <v>85.611510791366911</v>
      </c>
      <c r="G63" s="1" t="str">
        <f t="shared" si="17"/>
        <v>357/417 (86%)</v>
      </c>
      <c r="H63" s="1">
        <v>1</v>
      </c>
      <c r="I63" s="1" t="s">
        <v>12</v>
      </c>
      <c r="J63" s="1">
        <v>417</v>
      </c>
      <c r="K63" s="1">
        <v>40</v>
      </c>
      <c r="L63" s="1">
        <f t="shared" si="8"/>
        <v>9.5923261390887298</v>
      </c>
      <c r="M63" s="1" t="str">
        <f t="shared" si="18"/>
        <v>40/417 (10%)</v>
      </c>
      <c r="N63" s="1">
        <v>25</v>
      </c>
      <c r="O63" s="1"/>
      <c r="P63" s="1">
        <f t="shared" si="9"/>
        <v>0</v>
      </c>
      <c r="Q63" s="1" t="s">
        <v>12</v>
      </c>
      <c r="R63" s="1"/>
      <c r="S63" s="1"/>
      <c r="T63" s="1" t="e">
        <f t="shared" si="10"/>
        <v>#DIV/0!</v>
      </c>
      <c r="U63" s="1" t="s">
        <v>12</v>
      </c>
      <c r="V63" s="3" t="s">
        <v>64</v>
      </c>
    </row>
    <row r="64" spans="1:22" hidden="1" x14ac:dyDescent="0.3">
      <c r="A64" t="s">
        <v>62</v>
      </c>
      <c r="B64" t="s">
        <v>16</v>
      </c>
      <c r="C64" s="1">
        <v>24</v>
      </c>
      <c r="D64" s="1">
        <v>409</v>
      </c>
      <c r="E64" s="1">
        <v>331</v>
      </c>
      <c r="F64" s="6">
        <f t="shared" si="16"/>
        <v>80.929095354523227</v>
      </c>
      <c r="G64" s="1" t="str">
        <f t="shared" si="17"/>
        <v>331/409 (81%)</v>
      </c>
      <c r="H64" s="1">
        <v>1</v>
      </c>
      <c r="I64" s="1" t="s">
        <v>12</v>
      </c>
      <c r="J64" s="1">
        <v>409</v>
      </c>
      <c r="K64" s="1">
        <v>32</v>
      </c>
      <c r="L64" s="1">
        <f t="shared" si="8"/>
        <v>7.8239608801955987</v>
      </c>
      <c r="M64" s="1" t="str">
        <f t="shared" si="18"/>
        <v>32/409 (8%)</v>
      </c>
      <c r="N64" s="1">
        <v>26</v>
      </c>
      <c r="O64" s="1"/>
      <c r="P64" s="1">
        <f t="shared" si="9"/>
        <v>0</v>
      </c>
      <c r="Q64" s="1" t="s">
        <v>12</v>
      </c>
      <c r="R64" s="1"/>
      <c r="S64" s="1"/>
      <c r="T64" s="1" t="e">
        <f t="shared" si="10"/>
        <v>#DIV/0!</v>
      </c>
      <c r="U64" s="1" t="s">
        <v>12</v>
      </c>
      <c r="V64" s="3" t="s">
        <v>64</v>
      </c>
    </row>
    <row r="65" spans="1:22" hidden="1" x14ac:dyDescent="0.3">
      <c r="A65" t="s">
        <v>71</v>
      </c>
      <c r="B65" t="s">
        <v>56</v>
      </c>
      <c r="C65" s="1">
        <v>27</v>
      </c>
      <c r="D65" s="1">
        <v>566</v>
      </c>
      <c r="E65" s="1">
        <v>499</v>
      </c>
      <c r="F65" s="6">
        <f t="shared" si="16"/>
        <v>88.162544169611309</v>
      </c>
      <c r="G65" s="1" t="str">
        <f t="shared" si="17"/>
        <v>499/566 (88%)</v>
      </c>
      <c r="H65" s="1">
        <v>2</v>
      </c>
      <c r="I65" s="1" t="s">
        <v>12</v>
      </c>
      <c r="J65" s="1">
        <v>566</v>
      </c>
      <c r="K65" s="1">
        <v>46</v>
      </c>
      <c r="L65" s="1">
        <f t="shared" si="8"/>
        <v>8.1272084805653702</v>
      </c>
      <c r="M65" s="1" t="str">
        <f t="shared" si="18"/>
        <v>46/566 (8%)</v>
      </c>
      <c r="N65" s="1">
        <v>566</v>
      </c>
      <c r="O65" s="1">
        <v>34</v>
      </c>
      <c r="P65" s="1">
        <f t="shared" si="9"/>
        <v>6.0070671378091873</v>
      </c>
      <c r="Q65" s="1" t="str">
        <f>_xlfn.CONCAT(O65, "/", N65, " (", TEXT(ROUND(P65, 0), "0"), "%)")</f>
        <v>34/566 (6%)</v>
      </c>
      <c r="R65" s="1"/>
      <c r="S65" s="1"/>
      <c r="T65" s="1" t="e">
        <f t="shared" si="10"/>
        <v>#DIV/0!</v>
      </c>
      <c r="U65" s="1" t="s">
        <v>12</v>
      </c>
      <c r="V65" s="3" t="s">
        <v>73</v>
      </c>
    </row>
    <row r="66" spans="1:22" hidden="1" x14ac:dyDescent="0.3">
      <c r="A66" t="s">
        <v>71</v>
      </c>
      <c r="B66" t="s">
        <v>72</v>
      </c>
      <c r="C66" s="1">
        <v>27</v>
      </c>
      <c r="D66" s="1">
        <v>565</v>
      </c>
      <c r="E66" s="1">
        <v>502</v>
      </c>
      <c r="F66" s="6">
        <f t="shared" si="16"/>
        <v>88.849557522123888</v>
      </c>
      <c r="G66" s="1" t="str">
        <f t="shared" si="17"/>
        <v>502/565 (89%)</v>
      </c>
      <c r="H66" s="1">
        <v>0</v>
      </c>
      <c r="I66" s="1" t="s">
        <v>12</v>
      </c>
      <c r="J66" s="1">
        <v>565</v>
      </c>
      <c r="K66" s="1">
        <v>49</v>
      </c>
      <c r="L66" s="1">
        <f t="shared" ref="L66:L97" si="19">K66/J66*100</f>
        <v>8.6725663716814161</v>
      </c>
      <c r="M66" s="1" t="str">
        <f t="shared" si="18"/>
        <v>49/565 (9%)</v>
      </c>
      <c r="N66" s="1">
        <v>565</v>
      </c>
      <c r="O66" s="1">
        <v>49</v>
      </c>
      <c r="P66" s="1">
        <f t="shared" ref="P66:P97" si="20">O66/N66*100</f>
        <v>8.6725663716814161</v>
      </c>
      <c r="Q66" s="1" t="str">
        <f>_xlfn.CONCAT(O66, "/", N66, " (", TEXT(ROUND(P66, 0), "0"), "%)")</f>
        <v>49/565 (9%)</v>
      </c>
      <c r="R66" s="1"/>
      <c r="S66" s="1"/>
      <c r="T66" s="1" t="e">
        <f t="shared" ref="T66:T97" si="21">S66/R66*100</f>
        <v>#DIV/0!</v>
      </c>
      <c r="U66" s="1" t="s">
        <v>12</v>
      </c>
      <c r="V66" s="3" t="s">
        <v>73</v>
      </c>
    </row>
    <row r="67" spans="1:22" hidden="1" x14ac:dyDescent="0.3">
      <c r="A67" t="s">
        <v>99</v>
      </c>
      <c r="B67" t="s">
        <v>22</v>
      </c>
      <c r="C67" s="1">
        <v>24</v>
      </c>
      <c r="D67" s="1">
        <v>84</v>
      </c>
      <c r="E67" s="1">
        <v>84</v>
      </c>
      <c r="F67" s="6">
        <f t="shared" si="16"/>
        <v>100</v>
      </c>
      <c r="G67" s="1" t="str">
        <f t="shared" si="17"/>
        <v>84/84 (100%)</v>
      </c>
      <c r="H67" s="1" t="s">
        <v>12</v>
      </c>
      <c r="I67" s="1" t="s">
        <v>12</v>
      </c>
      <c r="J67" s="1">
        <v>84</v>
      </c>
      <c r="K67" s="1">
        <v>2</v>
      </c>
      <c r="L67" s="1">
        <f t="shared" si="19"/>
        <v>2.3809523809523809</v>
      </c>
      <c r="M67" s="1" t="str">
        <f t="shared" si="18"/>
        <v>2/84 (2%)</v>
      </c>
      <c r="N67" s="1"/>
      <c r="O67" s="1"/>
      <c r="P67" s="1" t="e">
        <f t="shared" si="20"/>
        <v>#DIV/0!</v>
      </c>
      <c r="Q67" s="1" t="s">
        <v>12</v>
      </c>
      <c r="R67" s="1">
        <v>84</v>
      </c>
      <c r="S67" s="1">
        <v>63</v>
      </c>
      <c r="T67" s="1">
        <f t="shared" si="21"/>
        <v>75</v>
      </c>
      <c r="U67" s="1" t="str">
        <f>_xlfn.CONCAT(S67, "/", R67, " (", TEXT(ROUND(T67, 0), "0"), "%)")</f>
        <v>63/84 (75%)</v>
      </c>
      <c r="V67" s="3" t="s">
        <v>100</v>
      </c>
    </row>
    <row r="68" spans="1:22" hidden="1" x14ac:dyDescent="0.3">
      <c r="A68" t="s">
        <v>99</v>
      </c>
      <c r="B68" t="s">
        <v>17</v>
      </c>
      <c r="C68" s="1">
        <v>24</v>
      </c>
      <c r="D68" s="1">
        <v>83</v>
      </c>
      <c r="E68" s="1">
        <v>83</v>
      </c>
      <c r="F68" s="6">
        <f t="shared" si="16"/>
        <v>100</v>
      </c>
      <c r="G68" s="1" t="str">
        <f t="shared" si="17"/>
        <v>83/83 (100%)</v>
      </c>
      <c r="H68" s="1" t="s">
        <v>12</v>
      </c>
      <c r="I68" s="1" t="s">
        <v>12</v>
      </c>
      <c r="J68" s="1">
        <v>83</v>
      </c>
      <c r="K68" s="1">
        <v>2</v>
      </c>
      <c r="L68" s="1">
        <f t="shared" si="19"/>
        <v>2.4096385542168677</v>
      </c>
      <c r="M68" s="1" t="str">
        <f t="shared" si="18"/>
        <v>2/83 (2%)</v>
      </c>
      <c r="N68" s="1"/>
      <c r="O68" s="1"/>
      <c r="P68" s="1" t="e">
        <f t="shared" si="20"/>
        <v>#DIV/0!</v>
      </c>
      <c r="Q68" s="1" t="s">
        <v>12</v>
      </c>
      <c r="R68" s="1">
        <v>83</v>
      </c>
      <c r="S68" s="1">
        <v>66</v>
      </c>
      <c r="T68" s="1">
        <f t="shared" si="21"/>
        <v>79.518072289156621</v>
      </c>
      <c r="U68" s="1" t="str">
        <f>_xlfn.CONCAT(S68, "/", R68, " (", TEXT(ROUND(T68, 0), "0"), "%)")</f>
        <v>66/83 (80%)</v>
      </c>
      <c r="V68" s="3" t="s">
        <v>100</v>
      </c>
    </row>
    <row r="69" spans="1:22" hidden="1" x14ac:dyDescent="0.3">
      <c r="A69" t="s">
        <v>89</v>
      </c>
      <c r="B69" t="s">
        <v>20</v>
      </c>
      <c r="C69" s="1">
        <v>6</v>
      </c>
      <c r="D69" s="1">
        <v>121</v>
      </c>
      <c r="E69" s="1">
        <v>90</v>
      </c>
      <c r="F69" s="6">
        <f t="shared" si="16"/>
        <v>74.380165289256198</v>
      </c>
      <c r="G69" s="1" t="str">
        <f t="shared" si="17"/>
        <v>90/121 (74%)</v>
      </c>
      <c r="H69" s="1">
        <v>0</v>
      </c>
      <c r="I69" s="1" t="s">
        <v>12</v>
      </c>
      <c r="J69" s="1">
        <v>121</v>
      </c>
      <c r="K69" s="1">
        <v>5</v>
      </c>
      <c r="L69" s="1">
        <f t="shared" si="19"/>
        <v>4.1322314049586781</v>
      </c>
      <c r="M69" s="1" t="str">
        <f t="shared" si="18"/>
        <v>5/121 (4%)</v>
      </c>
      <c r="N69" s="1"/>
      <c r="O69" s="1"/>
      <c r="P69" s="1" t="e">
        <f t="shared" si="20"/>
        <v>#DIV/0!</v>
      </c>
      <c r="Q69" s="1" t="s">
        <v>12</v>
      </c>
      <c r="R69" s="1"/>
      <c r="S69" s="1"/>
      <c r="T69" s="1" t="e">
        <f t="shared" si="21"/>
        <v>#DIV/0!</v>
      </c>
      <c r="U69" s="1" t="s">
        <v>12</v>
      </c>
      <c r="V69" s="3" t="s">
        <v>90</v>
      </c>
    </row>
    <row r="70" spans="1:22" hidden="1" x14ac:dyDescent="0.3">
      <c r="A70" t="s">
        <v>89</v>
      </c>
      <c r="B70" t="s">
        <v>72</v>
      </c>
      <c r="C70" s="1">
        <v>6</v>
      </c>
      <c r="D70" s="1">
        <v>114</v>
      </c>
      <c r="E70" s="1">
        <v>88</v>
      </c>
      <c r="F70" s="6">
        <f t="shared" si="16"/>
        <v>77.192982456140342</v>
      </c>
      <c r="G70" s="1" t="str">
        <f t="shared" si="17"/>
        <v>88/114 (77%)</v>
      </c>
      <c r="H70" s="1">
        <v>0</v>
      </c>
      <c r="I70" s="1" t="s">
        <v>12</v>
      </c>
      <c r="J70" s="1">
        <v>114</v>
      </c>
      <c r="K70" s="1">
        <v>7</v>
      </c>
      <c r="L70" s="1">
        <f t="shared" si="19"/>
        <v>6.140350877192982</v>
      </c>
      <c r="M70" s="1" t="str">
        <f t="shared" si="18"/>
        <v>7/114 (6%)</v>
      </c>
      <c r="N70" s="1"/>
      <c r="O70" s="1"/>
      <c r="P70" s="1" t="e">
        <f t="shared" si="20"/>
        <v>#DIV/0!</v>
      </c>
      <c r="Q70" s="1" t="s">
        <v>12</v>
      </c>
      <c r="R70" s="1"/>
      <c r="S70" s="1"/>
      <c r="T70" s="1" t="e">
        <f t="shared" si="21"/>
        <v>#DIV/0!</v>
      </c>
      <c r="U70" s="1" t="s">
        <v>12</v>
      </c>
      <c r="V70" s="3" t="s">
        <v>90</v>
      </c>
    </row>
    <row r="71" spans="1:22" hidden="1" x14ac:dyDescent="0.3">
      <c r="A71" s="5" t="s">
        <v>48</v>
      </c>
      <c r="B71" t="s">
        <v>16</v>
      </c>
      <c r="C71" s="1"/>
      <c r="D71" s="1"/>
      <c r="E71" s="1"/>
      <c r="F71" s="6" t="e">
        <f>D71/E71*100</f>
        <v>#DIV/0!</v>
      </c>
      <c r="G71" s="1" t="s">
        <v>12</v>
      </c>
      <c r="H71" s="1">
        <v>0</v>
      </c>
      <c r="I71" s="1" t="s">
        <v>12</v>
      </c>
      <c r="J71" s="1"/>
      <c r="K71" s="1"/>
      <c r="L71" s="1" t="e">
        <f t="shared" si="19"/>
        <v>#DIV/0!</v>
      </c>
      <c r="M71" s="1" t="s">
        <v>12</v>
      </c>
      <c r="N71" s="1"/>
      <c r="O71" s="1"/>
      <c r="P71" s="1" t="e">
        <f t="shared" si="20"/>
        <v>#DIV/0!</v>
      </c>
      <c r="Q71" s="1" t="s">
        <v>12</v>
      </c>
      <c r="R71" s="1"/>
      <c r="S71" s="1"/>
      <c r="T71" s="1" t="e">
        <f t="shared" si="21"/>
        <v>#DIV/0!</v>
      </c>
      <c r="U71" s="1" t="s">
        <v>12</v>
      </c>
      <c r="V71" s="3" t="s">
        <v>49</v>
      </c>
    </row>
    <row r="72" spans="1:22" hidden="1" x14ac:dyDescent="0.3">
      <c r="A72" t="s">
        <v>48</v>
      </c>
      <c r="B72" t="s">
        <v>50</v>
      </c>
      <c r="C72" s="1"/>
      <c r="D72" s="1"/>
      <c r="E72" s="1"/>
      <c r="F72" s="6" t="e">
        <f>D72/E72*100</f>
        <v>#DIV/0!</v>
      </c>
      <c r="G72" s="1" t="s">
        <v>12</v>
      </c>
      <c r="H72" s="1">
        <v>1</v>
      </c>
      <c r="I72" s="1" t="s">
        <v>12</v>
      </c>
      <c r="J72" s="1"/>
      <c r="K72" s="1"/>
      <c r="L72" s="1" t="e">
        <f t="shared" si="19"/>
        <v>#DIV/0!</v>
      </c>
      <c r="M72" s="1" t="s">
        <v>12</v>
      </c>
      <c r="N72" s="1"/>
      <c r="O72" s="1"/>
      <c r="P72" s="1" t="e">
        <f t="shared" si="20"/>
        <v>#DIV/0!</v>
      </c>
      <c r="Q72" s="1" t="s">
        <v>12</v>
      </c>
      <c r="R72" s="1"/>
      <c r="S72" s="1"/>
      <c r="T72" s="1" t="e">
        <f t="shared" si="21"/>
        <v>#DIV/0!</v>
      </c>
      <c r="U72" s="1" t="s">
        <v>12</v>
      </c>
      <c r="V72" s="3" t="s">
        <v>49</v>
      </c>
    </row>
    <row r="73" spans="1:22" hidden="1" x14ac:dyDescent="0.3">
      <c r="A73" t="s">
        <v>48</v>
      </c>
      <c r="B73" t="s">
        <v>20</v>
      </c>
      <c r="C73" s="1"/>
      <c r="D73" s="1"/>
      <c r="E73" s="1"/>
      <c r="F73" s="6" t="e">
        <f>D73/E73*100</f>
        <v>#DIV/0!</v>
      </c>
      <c r="G73" s="1" t="s">
        <v>12</v>
      </c>
      <c r="H73" s="1">
        <v>1</v>
      </c>
      <c r="I73" s="1" t="s">
        <v>12</v>
      </c>
      <c r="J73" s="1"/>
      <c r="K73" s="1"/>
      <c r="L73" s="1" t="e">
        <f t="shared" si="19"/>
        <v>#DIV/0!</v>
      </c>
      <c r="M73" s="1" t="s">
        <v>12</v>
      </c>
      <c r="N73" s="1"/>
      <c r="O73" s="1"/>
      <c r="P73" s="1" t="e">
        <f t="shared" si="20"/>
        <v>#DIV/0!</v>
      </c>
      <c r="Q73" s="1" t="s">
        <v>12</v>
      </c>
      <c r="R73" s="1"/>
      <c r="S73" s="1"/>
      <c r="T73" s="1" t="e">
        <f t="shared" si="21"/>
        <v>#DIV/0!</v>
      </c>
      <c r="U73" s="1" t="s">
        <v>12</v>
      </c>
      <c r="V73" s="3" t="s">
        <v>49</v>
      </c>
    </row>
    <row r="74" spans="1:22" hidden="1" x14ac:dyDescent="0.3">
      <c r="A74" t="s">
        <v>84</v>
      </c>
      <c r="B74" t="s">
        <v>18</v>
      </c>
      <c r="C74" s="1">
        <v>24</v>
      </c>
      <c r="D74" s="1">
        <v>375</v>
      </c>
      <c r="E74" s="4">
        <v>1917</v>
      </c>
      <c r="F74" s="6">
        <f>E74/D74*100</f>
        <v>511.2</v>
      </c>
      <c r="G74" s="1" t="str">
        <f>_xlfn.CONCAT(E74, "/", D74, " (", TEXT(ROUND(F74, 0), "0"), "%)")</f>
        <v>1917/375 (511%)</v>
      </c>
      <c r="H74" s="1">
        <v>0</v>
      </c>
      <c r="I74" s="1" t="s">
        <v>12</v>
      </c>
      <c r="J74" s="1">
        <v>375</v>
      </c>
      <c r="K74" s="1">
        <v>27</v>
      </c>
      <c r="L74" s="1">
        <f t="shared" si="19"/>
        <v>7.1999999999999993</v>
      </c>
      <c r="M74" s="1" t="str">
        <f t="shared" ref="M74:M81" si="22">_xlfn.CONCAT(K74, "/", J74, " (", TEXT(ROUND(L74, 0), "0"), "%)")</f>
        <v>27/375 (7%)</v>
      </c>
      <c r="N74" s="1">
        <v>375</v>
      </c>
      <c r="O74" s="1">
        <v>19</v>
      </c>
      <c r="P74" s="1">
        <f t="shared" si="20"/>
        <v>5.0666666666666664</v>
      </c>
      <c r="Q74" s="1" t="str">
        <f t="shared" ref="Q74:Q87" si="23">_xlfn.CONCAT(O74, "/", N74, " (", TEXT(ROUND(P74, 0), "0"), "%)")</f>
        <v>19/375 (5%)</v>
      </c>
      <c r="R74" s="1">
        <v>375</v>
      </c>
      <c r="S74" s="1">
        <v>618</v>
      </c>
      <c r="T74" s="1">
        <f t="shared" si="21"/>
        <v>164.79999999999998</v>
      </c>
      <c r="U74" s="1" t="str">
        <f>_xlfn.CONCAT(S74, "/", R74, " (", TEXT(ROUND(T74, 0), "0"), "%)")</f>
        <v>618/375 (165%)</v>
      </c>
      <c r="V74" s="3" t="s">
        <v>85</v>
      </c>
    </row>
    <row r="75" spans="1:22" hidden="1" x14ac:dyDescent="0.3">
      <c r="A75" t="s">
        <v>84</v>
      </c>
      <c r="B75" t="s">
        <v>16</v>
      </c>
      <c r="C75" s="1">
        <v>24</v>
      </c>
      <c r="D75" s="1">
        <v>381</v>
      </c>
      <c r="E75" s="4">
        <v>1880</v>
      </c>
      <c r="F75" s="6">
        <f>E75/D75*100</f>
        <v>493.43832020997371</v>
      </c>
      <c r="G75" s="1" t="str">
        <f>_xlfn.CONCAT(E75, "/", D75, " (", TEXT(ROUND(F75, 0), "0"), "%)")</f>
        <v>1880/381 (493%)</v>
      </c>
      <c r="H75" s="1">
        <v>1</v>
      </c>
      <c r="I75" s="1" t="s">
        <v>12</v>
      </c>
      <c r="J75" s="1">
        <v>381</v>
      </c>
      <c r="K75" s="1">
        <v>29</v>
      </c>
      <c r="L75" s="1">
        <f t="shared" si="19"/>
        <v>7.6115485564304457</v>
      </c>
      <c r="M75" s="1" t="str">
        <f t="shared" si="22"/>
        <v>29/381 (8%)</v>
      </c>
      <c r="N75" s="1">
        <v>381</v>
      </c>
      <c r="O75" s="1">
        <v>23</v>
      </c>
      <c r="P75" s="1">
        <f t="shared" si="20"/>
        <v>6.0367454068241466</v>
      </c>
      <c r="Q75" s="1" t="str">
        <f t="shared" si="23"/>
        <v>23/381 (6%)</v>
      </c>
      <c r="R75" s="1">
        <v>381</v>
      </c>
      <c r="S75" s="1">
        <v>632</v>
      </c>
      <c r="T75" s="1">
        <f t="shared" si="21"/>
        <v>165.87926509186352</v>
      </c>
      <c r="U75" s="1" t="str">
        <f>_xlfn.CONCAT(S75, "/", R75, " (", TEXT(ROUND(T75, 0), "0"), "%)")</f>
        <v>632/381 (166%)</v>
      </c>
      <c r="V75" s="3" t="s">
        <v>85</v>
      </c>
    </row>
    <row r="76" spans="1:22" hidden="1" x14ac:dyDescent="0.3">
      <c r="A76" t="s">
        <v>10</v>
      </c>
      <c r="B76" t="s">
        <v>11</v>
      </c>
      <c r="C76" s="1">
        <v>6</v>
      </c>
      <c r="D76" s="1"/>
      <c r="E76" s="1"/>
      <c r="F76" s="6" t="e">
        <f>D76/E76*100</f>
        <v>#DIV/0!</v>
      </c>
      <c r="G76" s="1" t="s">
        <v>12</v>
      </c>
      <c r="H76" s="1" t="s">
        <v>12</v>
      </c>
      <c r="I76" s="1" t="s">
        <v>12</v>
      </c>
      <c r="J76" s="1">
        <v>54</v>
      </c>
      <c r="K76" s="1">
        <v>0</v>
      </c>
      <c r="L76" s="1">
        <f t="shared" si="19"/>
        <v>0</v>
      </c>
      <c r="M76" s="1" t="str">
        <f t="shared" si="22"/>
        <v>0/54 (0%)</v>
      </c>
      <c r="N76" s="1">
        <v>54</v>
      </c>
      <c r="O76" s="1">
        <v>1</v>
      </c>
      <c r="P76" s="1">
        <f t="shared" si="20"/>
        <v>1.8518518518518516</v>
      </c>
      <c r="Q76" s="1" t="str">
        <f t="shared" si="23"/>
        <v>1/54 (2%)</v>
      </c>
      <c r="R76" s="1">
        <v>54</v>
      </c>
      <c r="S76" s="1">
        <v>23</v>
      </c>
      <c r="T76" s="1">
        <f t="shared" si="21"/>
        <v>42.592592592592595</v>
      </c>
      <c r="U76" s="1" t="str">
        <f>_xlfn.CONCAT(S76, "/", R76, " (", TEXT(ROUND(T76, 0), "0"), "%)")</f>
        <v>23/54 (43%)</v>
      </c>
      <c r="V76" s="3" t="s">
        <v>14</v>
      </c>
    </row>
    <row r="77" spans="1:22" hidden="1" x14ac:dyDescent="0.3">
      <c r="A77" t="s">
        <v>10</v>
      </c>
      <c r="B77" t="s">
        <v>13</v>
      </c>
      <c r="C77" s="1">
        <v>6</v>
      </c>
      <c r="D77" s="1"/>
      <c r="E77" s="1"/>
      <c r="F77" s="6" t="e">
        <f>D77/E77*100</f>
        <v>#DIV/0!</v>
      </c>
      <c r="G77" s="1" t="s">
        <v>12</v>
      </c>
      <c r="H77" s="1" t="s">
        <v>12</v>
      </c>
      <c r="I77" s="1" t="s">
        <v>12</v>
      </c>
      <c r="J77" s="1">
        <v>54</v>
      </c>
      <c r="K77" s="1">
        <v>2</v>
      </c>
      <c r="L77" s="1">
        <f t="shared" si="19"/>
        <v>3.7037037037037033</v>
      </c>
      <c r="M77" s="1" t="str">
        <f t="shared" si="22"/>
        <v>2/54 (4%)</v>
      </c>
      <c r="N77" s="1">
        <v>54</v>
      </c>
      <c r="O77" s="1">
        <v>3</v>
      </c>
      <c r="P77" s="1">
        <f t="shared" si="20"/>
        <v>5.5555555555555554</v>
      </c>
      <c r="Q77" s="1" t="str">
        <f t="shared" si="23"/>
        <v>3/54 (6%)</v>
      </c>
      <c r="R77" s="1">
        <v>54</v>
      </c>
      <c r="S77" s="1">
        <v>32</v>
      </c>
      <c r="T77" s="1">
        <f t="shared" si="21"/>
        <v>59.259259259259252</v>
      </c>
      <c r="U77" s="1" t="str">
        <f>_xlfn.CONCAT(S77, "/", R77, " (", TEXT(ROUND(T77, 0), "0"), "%)")</f>
        <v>32/54 (59%)</v>
      </c>
      <c r="V77" s="3" t="s">
        <v>14</v>
      </c>
    </row>
    <row r="78" spans="1:22" hidden="1" x14ac:dyDescent="0.3">
      <c r="A78" t="s">
        <v>95</v>
      </c>
      <c r="B78" t="s">
        <v>20</v>
      </c>
      <c r="C78" s="1">
        <v>6</v>
      </c>
      <c r="D78" s="1">
        <v>57</v>
      </c>
      <c r="E78" s="1">
        <v>45</v>
      </c>
      <c r="F78" s="6">
        <f>E78/D78*100</f>
        <v>78.94736842105263</v>
      </c>
      <c r="G78" s="1" t="str">
        <f>_xlfn.CONCAT(E78, "/", D78, " (", TEXT(ROUND(F78, 0), "0"), "%)")</f>
        <v>45/57 (79%)</v>
      </c>
      <c r="H78" s="1">
        <v>0</v>
      </c>
      <c r="I78" s="1" t="s">
        <v>12</v>
      </c>
      <c r="J78" s="1">
        <v>57</v>
      </c>
      <c r="K78" s="1">
        <v>3</v>
      </c>
      <c r="L78" s="1">
        <f t="shared" si="19"/>
        <v>5.2631578947368416</v>
      </c>
      <c r="M78" s="1" t="str">
        <f t="shared" si="22"/>
        <v>3/57 (5%)</v>
      </c>
      <c r="N78" s="1">
        <v>57</v>
      </c>
      <c r="O78" s="1">
        <v>3</v>
      </c>
      <c r="P78" s="1">
        <f t="shared" si="20"/>
        <v>5.2631578947368416</v>
      </c>
      <c r="Q78" s="1" t="str">
        <f t="shared" si="23"/>
        <v>3/57 (5%)</v>
      </c>
      <c r="R78" s="1"/>
      <c r="S78" s="1"/>
      <c r="T78" s="1" t="e">
        <f t="shared" si="21"/>
        <v>#DIV/0!</v>
      </c>
      <c r="U78" s="1" t="s">
        <v>12</v>
      </c>
      <c r="V78" s="3" t="s">
        <v>96</v>
      </c>
    </row>
    <row r="79" spans="1:22" hidden="1" x14ac:dyDescent="0.3">
      <c r="A79" t="s">
        <v>95</v>
      </c>
      <c r="B79" t="s">
        <v>13</v>
      </c>
      <c r="C79" s="1">
        <v>6</v>
      </c>
      <c r="D79" s="1">
        <v>57</v>
      </c>
      <c r="E79" s="1">
        <v>52</v>
      </c>
      <c r="F79" s="6">
        <f>E79/D79*100</f>
        <v>91.228070175438589</v>
      </c>
      <c r="G79" s="1" t="str">
        <f>_xlfn.CONCAT(E79, "/", D79, " (", TEXT(ROUND(F79, 0), "0"), "%)")</f>
        <v>52/57 (91%)</v>
      </c>
      <c r="H79" s="1">
        <v>0</v>
      </c>
      <c r="I79" s="1" t="s">
        <v>12</v>
      </c>
      <c r="J79" s="1">
        <v>57</v>
      </c>
      <c r="K79" s="1">
        <v>5</v>
      </c>
      <c r="L79" s="1">
        <f t="shared" si="19"/>
        <v>8.7719298245614024</v>
      </c>
      <c r="M79" s="1" t="str">
        <f t="shared" si="22"/>
        <v>5/57 (9%)</v>
      </c>
      <c r="N79" s="1">
        <v>57</v>
      </c>
      <c r="O79" s="1">
        <v>6</v>
      </c>
      <c r="P79" s="1">
        <f t="shared" si="20"/>
        <v>10.526315789473683</v>
      </c>
      <c r="Q79" s="1" t="str">
        <f t="shared" si="23"/>
        <v>6/57 (11%)</v>
      </c>
      <c r="R79" s="1"/>
      <c r="S79" s="1"/>
      <c r="T79" s="1" t="e">
        <f t="shared" si="21"/>
        <v>#DIV/0!</v>
      </c>
      <c r="U79" s="1" t="s">
        <v>12</v>
      </c>
      <c r="V79" s="3" t="s">
        <v>96</v>
      </c>
    </row>
    <row r="80" spans="1:22" hidden="1" x14ac:dyDescent="0.3">
      <c r="A80" t="s">
        <v>97</v>
      </c>
      <c r="B80" t="s">
        <v>11</v>
      </c>
      <c r="C80" s="1">
        <v>6</v>
      </c>
      <c r="D80" s="1">
        <v>47</v>
      </c>
      <c r="E80" s="1">
        <v>34</v>
      </c>
      <c r="F80" s="6">
        <f>E80/D80*100</f>
        <v>72.340425531914903</v>
      </c>
      <c r="G80" s="1" t="str">
        <f>_xlfn.CONCAT(E80, "/", D80, " (", TEXT(ROUND(F80, 0), "0"), "%)")</f>
        <v>34/47 (72%)</v>
      </c>
      <c r="H80" s="1" t="s">
        <v>12</v>
      </c>
      <c r="I80" s="1">
        <v>0</v>
      </c>
      <c r="J80" s="1">
        <v>47</v>
      </c>
      <c r="K80" s="1">
        <v>7</v>
      </c>
      <c r="L80" s="1">
        <f t="shared" si="19"/>
        <v>14.893617021276595</v>
      </c>
      <c r="M80" s="1" t="str">
        <f t="shared" si="22"/>
        <v>7/47 (15%)</v>
      </c>
      <c r="N80" s="1">
        <v>47</v>
      </c>
      <c r="O80" s="1">
        <v>0</v>
      </c>
      <c r="P80" s="1">
        <f t="shared" si="20"/>
        <v>0</v>
      </c>
      <c r="Q80" s="1" t="str">
        <f t="shared" si="23"/>
        <v>0/47 (0%)</v>
      </c>
      <c r="R80" s="1"/>
      <c r="S80" s="1"/>
      <c r="T80" s="1" t="e">
        <f t="shared" si="21"/>
        <v>#DIV/0!</v>
      </c>
      <c r="U80" s="1" t="s">
        <v>12</v>
      </c>
      <c r="V80" s="3" t="s">
        <v>98</v>
      </c>
    </row>
    <row r="81" spans="1:22" hidden="1" x14ac:dyDescent="0.3">
      <c r="A81" t="s">
        <v>97</v>
      </c>
      <c r="B81" t="s">
        <v>20</v>
      </c>
      <c r="C81" s="1">
        <v>6</v>
      </c>
      <c r="D81" s="1">
        <v>47</v>
      </c>
      <c r="E81" s="1">
        <v>41</v>
      </c>
      <c r="F81" s="6">
        <f>E81/D81*100</f>
        <v>87.2340425531915</v>
      </c>
      <c r="G81" s="1" t="str">
        <f>_xlfn.CONCAT(E81, "/", D81, " (", TEXT(ROUND(F81, 0), "0"), "%)")</f>
        <v>41/47 (87%)</v>
      </c>
      <c r="H81" s="1" t="s">
        <v>12</v>
      </c>
      <c r="I81" s="1">
        <v>0</v>
      </c>
      <c r="J81" s="1">
        <v>47</v>
      </c>
      <c r="K81" s="1">
        <v>11</v>
      </c>
      <c r="L81" s="1">
        <f t="shared" si="19"/>
        <v>23.404255319148938</v>
      </c>
      <c r="M81" s="1" t="str">
        <f t="shared" si="22"/>
        <v>11/47 (23%)</v>
      </c>
      <c r="N81" s="1">
        <v>47</v>
      </c>
      <c r="O81" s="1">
        <v>1</v>
      </c>
      <c r="P81" s="1">
        <f t="shared" si="20"/>
        <v>2.1276595744680851</v>
      </c>
      <c r="Q81" s="1" t="str">
        <f t="shared" si="23"/>
        <v>1/47 (2%)</v>
      </c>
      <c r="R81" s="1"/>
      <c r="S81" s="1"/>
      <c r="T81" s="1" t="e">
        <f t="shared" si="21"/>
        <v>#DIV/0!</v>
      </c>
      <c r="U81" s="1" t="s">
        <v>12</v>
      </c>
      <c r="V81" s="3" t="s">
        <v>98</v>
      </c>
    </row>
    <row r="82" spans="1:22" hidden="1" x14ac:dyDescent="0.3">
      <c r="A82" s="5" t="s">
        <v>45</v>
      </c>
      <c r="B82" t="s">
        <v>20</v>
      </c>
      <c r="C82" s="1">
        <v>24</v>
      </c>
      <c r="D82" s="1"/>
      <c r="E82" s="1"/>
      <c r="F82" s="6" t="e">
        <f>D82/E82*100</f>
        <v>#DIV/0!</v>
      </c>
      <c r="G82" s="1" t="s">
        <v>12</v>
      </c>
      <c r="H82" s="1"/>
      <c r="I82" s="1"/>
      <c r="J82" s="1"/>
      <c r="K82" s="1"/>
      <c r="L82" s="1" t="e">
        <f t="shared" si="19"/>
        <v>#DIV/0!</v>
      </c>
      <c r="M82" s="1" t="s">
        <v>12</v>
      </c>
      <c r="N82" s="1">
        <v>123</v>
      </c>
      <c r="O82" s="1">
        <v>1</v>
      </c>
      <c r="P82" s="1">
        <f t="shared" si="20"/>
        <v>0.81300813008130091</v>
      </c>
      <c r="Q82" s="1" t="str">
        <f t="shared" si="23"/>
        <v>1/123 (1%)</v>
      </c>
      <c r="R82" s="1"/>
      <c r="S82" s="1"/>
      <c r="T82" s="1" t="e">
        <f t="shared" si="21"/>
        <v>#DIV/0!</v>
      </c>
      <c r="U82" s="1" t="s">
        <v>12</v>
      </c>
    </row>
    <row r="83" spans="1:22" hidden="1" x14ac:dyDescent="0.3">
      <c r="A83" t="s">
        <v>45</v>
      </c>
      <c r="B83" t="s">
        <v>38</v>
      </c>
      <c r="C83" s="1">
        <v>24</v>
      </c>
      <c r="D83" s="1"/>
      <c r="E83" s="1"/>
      <c r="F83" s="6" t="e">
        <f>D83/E83*100</f>
        <v>#DIV/0!</v>
      </c>
      <c r="G83" s="1" t="s">
        <v>12</v>
      </c>
      <c r="H83" s="1"/>
      <c r="I83" s="1"/>
      <c r="J83" s="1"/>
      <c r="K83" s="1"/>
      <c r="L83" s="1" t="e">
        <f t="shared" si="19"/>
        <v>#DIV/0!</v>
      </c>
      <c r="M83" s="1" t="s">
        <v>12</v>
      </c>
      <c r="N83" s="1">
        <v>124</v>
      </c>
      <c r="O83" s="1">
        <v>10</v>
      </c>
      <c r="P83" s="1">
        <f t="shared" si="20"/>
        <v>8.064516129032258</v>
      </c>
      <c r="Q83" s="1" t="str">
        <f t="shared" si="23"/>
        <v>10/124 (8%)</v>
      </c>
      <c r="R83" s="1"/>
      <c r="S83" s="1"/>
      <c r="T83" s="1" t="e">
        <f t="shared" si="21"/>
        <v>#DIV/0!</v>
      </c>
      <c r="U83" s="1" t="s">
        <v>12</v>
      </c>
    </row>
    <row r="84" spans="1:22" hidden="1" x14ac:dyDescent="0.3">
      <c r="A84" t="s">
        <v>67</v>
      </c>
      <c r="B84" t="s">
        <v>20</v>
      </c>
      <c r="C84" s="1">
        <v>24</v>
      </c>
      <c r="D84" s="1"/>
      <c r="E84" s="1"/>
      <c r="F84" s="6" t="e">
        <f>D84/E84*100</f>
        <v>#DIV/0!</v>
      </c>
      <c r="G84" s="1" t="s">
        <v>12</v>
      </c>
      <c r="H84" s="1" t="s">
        <v>12</v>
      </c>
      <c r="I84" s="1" t="s">
        <v>12</v>
      </c>
      <c r="J84" s="1"/>
      <c r="K84" s="1"/>
      <c r="L84" s="1" t="e">
        <f t="shared" si="19"/>
        <v>#DIV/0!</v>
      </c>
      <c r="M84" s="1" t="s">
        <v>12</v>
      </c>
      <c r="N84" s="1">
        <v>143</v>
      </c>
      <c r="O84" s="1">
        <v>2</v>
      </c>
      <c r="P84" s="1">
        <f t="shared" si="20"/>
        <v>1.3986013986013985</v>
      </c>
      <c r="Q84" s="1" t="str">
        <f t="shared" si="23"/>
        <v>2/143 (1%)</v>
      </c>
      <c r="R84" s="1"/>
      <c r="S84" s="1"/>
      <c r="T84" s="1" t="e">
        <f t="shared" si="21"/>
        <v>#DIV/0!</v>
      </c>
      <c r="U84" s="1" t="s">
        <v>12</v>
      </c>
      <c r="V84" s="3" t="s">
        <v>68</v>
      </c>
    </row>
    <row r="85" spans="1:22" hidden="1" x14ac:dyDescent="0.3">
      <c r="A85" t="s">
        <v>67</v>
      </c>
      <c r="B85" t="s">
        <v>17</v>
      </c>
      <c r="C85" s="1">
        <v>24</v>
      </c>
      <c r="D85" s="1"/>
      <c r="E85" s="1"/>
      <c r="F85" s="6" t="e">
        <f>D85/E85*100</f>
        <v>#DIV/0!</v>
      </c>
      <c r="G85" s="1" t="s">
        <v>12</v>
      </c>
      <c r="H85" s="1" t="s">
        <v>12</v>
      </c>
      <c r="I85" s="1" t="s">
        <v>12</v>
      </c>
      <c r="J85" s="1"/>
      <c r="K85" s="1"/>
      <c r="L85" s="1" t="e">
        <f t="shared" si="19"/>
        <v>#DIV/0!</v>
      </c>
      <c r="M85" s="1" t="s">
        <v>12</v>
      </c>
      <c r="N85" s="1">
        <v>158</v>
      </c>
      <c r="O85" s="1">
        <v>7</v>
      </c>
      <c r="P85" s="1">
        <f t="shared" si="20"/>
        <v>4.4303797468354427</v>
      </c>
      <c r="Q85" s="1" t="str">
        <f t="shared" si="23"/>
        <v>7/158 (4%)</v>
      </c>
      <c r="R85" s="1"/>
      <c r="S85" s="1"/>
      <c r="T85" s="1" t="e">
        <f t="shared" si="21"/>
        <v>#DIV/0!</v>
      </c>
      <c r="U85" s="1" t="s">
        <v>12</v>
      </c>
      <c r="V85" s="3" t="s">
        <v>68</v>
      </c>
    </row>
    <row r="86" spans="1:22" hidden="1" x14ac:dyDescent="0.3">
      <c r="A86" t="s">
        <v>26</v>
      </c>
      <c r="B86" t="s">
        <v>17</v>
      </c>
      <c r="C86" s="1">
        <v>12</v>
      </c>
      <c r="D86" s="1">
        <v>431</v>
      </c>
      <c r="E86" s="1">
        <v>395</v>
      </c>
      <c r="F86" s="6">
        <f>E86/D86*100</f>
        <v>91.647331786542921</v>
      </c>
      <c r="G86" s="1" t="str">
        <f>_xlfn.CONCAT(E86, "/", D86, " (", TEXT(ROUND(F86, 0), "0"), "%)")</f>
        <v>395/431 (92%)</v>
      </c>
      <c r="H86" s="1">
        <v>0</v>
      </c>
      <c r="I86" s="1" t="s">
        <v>12</v>
      </c>
      <c r="J86" s="1">
        <v>431</v>
      </c>
      <c r="K86" s="1">
        <v>25</v>
      </c>
      <c r="L86" s="1">
        <f t="shared" si="19"/>
        <v>5.8004640371229694</v>
      </c>
      <c r="M86" s="1" t="str">
        <f>_xlfn.CONCAT(K86, "/", J86, " (", TEXT(ROUND(L86, 0), "0"), "%)")</f>
        <v>25/431 (6%)</v>
      </c>
      <c r="N86" s="1">
        <v>431</v>
      </c>
      <c r="O86" s="1">
        <v>16</v>
      </c>
      <c r="P86" s="1">
        <f t="shared" si="20"/>
        <v>3.7122969837587005</v>
      </c>
      <c r="Q86" s="1" t="str">
        <f t="shared" si="23"/>
        <v>16/431 (4%)</v>
      </c>
      <c r="R86" s="1"/>
      <c r="S86" s="1"/>
      <c r="T86" s="1" t="e">
        <f t="shared" si="21"/>
        <v>#DIV/0!</v>
      </c>
      <c r="U86" s="1" t="s">
        <v>12</v>
      </c>
      <c r="V86" s="3" t="s">
        <v>27</v>
      </c>
    </row>
    <row r="87" spans="1:22" hidden="1" x14ac:dyDescent="0.3">
      <c r="A87" t="s">
        <v>26</v>
      </c>
      <c r="B87" t="s">
        <v>13</v>
      </c>
      <c r="C87" s="1">
        <v>12</v>
      </c>
      <c r="D87" s="1">
        <v>429</v>
      </c>
      <c r="E87" s="1">
        <v>369</v>
      </c>
      <c r="F87" s="6">
        <f>E87/D87*100</f>
        <v>86.013986013986013</v>
      </c>
      <c r="G87" s="1" t="str">
        <f>_xlfn.CONCAT(E87, "/", D87, " (", TEXT(ROUND(F87, 0), "0"), "%)")</f>
        <v>369/429 (86%)</v>
      </c>
      <c r="H87" s="1">
        <v>0</v>
      </c>
      <c r="I87" s="1" t="s">
        <v>12</v>
      </c>
      <c r="J87" s="1">
        <v>429</v>
      </c>
      <c r="K87" s="1">
        <v>30</v>
      </c>
      <c r="L87" s="1">
        <f t="shared" si="19"/>
        <v>6.9930069930069934</v>
      </c>
      <c r="M87" s="1" t="str">
        <f>_xlfn.CONCAT(K87, "/", J87, " (", TEXT(ROUND(L87, 0), "0"), "%)")</f>
        <v>30/429 (7%)</v>
      </c>
      <c r="N87" s="1">
        <v>429</v>
      </c>
      <c r="O87" s="1">
        <v>24</v>
      </c>
      <c r="P87" s="1">
        <f t="shared" si="20"/>
        <v>5.5944055944055942</v>
      </c>
      <c r="Q87" s="1" t="str">
        <f t="shared" si="23"/>
        <v>24/429 (6%)</v>
      </c>
      <c r="R87" s="1"/>
      <c r="S87" s="1"/>
      <c r="T87" s="1" t="e">
        <f t="shared" si="21"/>
        <v>#DIV/0!</v>
      </c>
      <c r="U87" s="1" t="s">
        <v>12</v>
      </c>
      <c r="V87" s="3" t="s">
        <v>27</v>
      </c>
    </row>
  </sheetData>
  <autoFilter ref="A1:V87" xr:uid="{00000000-0001-0000-0000-000000000000}">
    <filterColumn colId="0">
      <filters>
        <filter val="ANTELOPE"/>
      </filters>
    </filterColumn>
  </autoFilter>
  <sortState xmlns:xlrd2="http://schemas.microsoft.com/office/spreadsheetml/2017/richdata2" ref="A2:V87">
    <sortCondition ref="A2:A87"/>
  </sortState>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E3D2A8E3060445845CB33F649944D9" ma:contentTypeVersion="12" ma:contentTypeDescription="Create a new document." ma:contentTypeScope="" ma:versionID="904d962808a52fea145147f501824070">
  <xsd:schema xmlns:xsd="http://www.w3.org/2001/XMLSchema" xmlns:xs="http://www.w3.org/2001/XMLSchema" xmlns:p="http://schemas.microsoft.com/office/2006/metadata/properties" xmlns:ns2="a4e98822-f433-4c96-8830-5cb2d7491f7d" xmlns:ns3="adc125f1-7df9-46f4-a9a7-022dd426a2bb" targetNamespace="http://schemas.microsoft.com/office/2006/metadata/properties" ma:root="true" ma:fieldsID="2ea18719b0589a0490468c8ade8a27c2" ns2:_="" ns3:_="">
    <xsd:import namespace="a4e98822-f433-4c96-8830-5cb2d7491f7d"/>
    <xsd:import namespace="adc125f1-7df9-46f4-a9a7-022dd426a2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e98822-f433-4c96-8830-5cb2d7491f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dd084387-097e-4aef-8f33-0dee7b0eb57f"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c125f1-7df9-46f4-a9a7-022dd426a2b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4e98822-f433-4c96-8830-5cb2d7491f7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1040A3-F287-479B-87C7-6688D99FBDDB}"/>
</file>

<file path=customXml/itemProps2.xml><?xml version="1.0" encoding="utf-8"?>
<ds:datastoreItem xmlns:ds="http://schemas.openxmlformats.org/officeDocument/2006/customXml" ds:itemID="{4FC437AF-267E-4A6D-81A8-2F30A891474D}">
  <ds:schemaRefs>
    <ds:schemaRef ds:uri="http://schemas.microsoft.com/office/2006/metadata/properties"/>
    <ds:schemaRef ds:uri="http://schemas.microsoft.com/office/infopath/2007/PartnerControls"/>
    <ds:schemaRef ds:uri="a4e98822-f433-4c96-8830-5cb2d7491f7d"/>
  </ds:schemaRefs>
</ds:datastoreItem>
</file>

<file path=customXml/itemProps3.xml><?xml version="1.0" encoding="utf-8"?>
<ds:datastoreItem xmlns:ds="http://schemas.openxmlformats.org/officeDocument/2006/customXml" ds:itemID="{45A8CE17-4A35-4984-B49B-104FB13BE8C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2024-11-04T17:55:30Z</dcterms:created>
  <dcterms:modified xsi:type="dcterms:W3CDTF">2024-11-05T10:29:39Z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0x010100ACE3D2A8E3060445845CB33F649944D9</vt:lpwstr>
  </property>
  <property fmtid="{D5CDD505-2E9C-101B-9397-08002B2CF9AE}" pid="3" name="MediaServiceImageTags">
    <vt:lpwstr/>
  </property>
</Properties>
</file>