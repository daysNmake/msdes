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"/>
    </mc:Choice>
  </mc:AlternateContent>
  <xr:revisionPtr revIDLastSave="396" documentId="8_{8A6A7C00-68ED-4739-B545-32E29D4F119B}" xr6:coauthVersionLast="47" xr6:coauthVersionMax="47" xr10:uidLastSave="{7C152DD2-B32F-4DD1-B07F-702FCE722799}"/>
  <bookViews>
    <workbookView xWindow="28785" yWindow="-16425" windowWidth="29040" windowHeight="15720" xr2:uid="{4C1DD219-0FDB-4F91-90E1-95BA3320EA7D}"/>
  </bookViews>
  <sheets>
    <sheet name="info" sheetId="1" r:id="rId1"/>
    <sheet name="model_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6" i="2"/>
  <c r="E2" i="2"/>
  <c r="D2" i="2"/>
  <c r="D3" i="2"/>
  <c r="D4" i="2"/>
  <c r="D6" i="2"/>
  <c r="D7" i="2"/>
  <c r="D8" i="2"/>
  <c r="D9" i="2"/>
  <c r="D1" i="2"/>
  <c r="B3" i="2"/>
  <c r="B4" i="2"/>
  <c r="B5" i="2"/>
  <c r="B6" i="2"/>
  <c r="B7" i="2"/>
  <c r="B8" i="2"/>
  <c r="B9" i="2"/>
  <c r="B10" i="2"/>
  <c r="B2" i="2"/>
  <c r="B1" i="2"/>
  <c r="C1" i="2"/>
  <c r="A1" i="2"/>
  <c r="A3" i="2"/>
  <c r="A4" i="2"/>
  <c r="A5" i="2"/>
  <c r="A6" i="2"/>
  <c r="A7" i="2"/>
  <c r="A8" i="2"/>
  <c r="A9" i="2"/>
  <c r="A10" i="2"/>
  <c r="A2" i="2"/>
  <c r="J7" i="1"/>
  <c r="E7" i="2" s="1"/>
  <c r="J6" i="1"/>
  <c r="J8" i="1" l="1"/>
  <c r="E8" i="2" s="1"/>
  <c r="J9" i="1"/>
  <c r="E9" i="2" s="1"/>
  <c r="J10" i="1"/>
  <c r="E10" i="2" s="1"/>
  <c r="J4" i="1"/>
  <c r="E4" i="2" s="1"/>
  <c r="J5" i="1"/>
  <c r="E5" i="2" s="1"/>
  <c r="E5" i="1"/>
  <c r="D5" i="2" s="1"/>
  <c r="E10" i="1"/>
  <c r="D10" i="2" s="1"/>
  <c r="D10" i="1" l="1"/>
  <c r="C10" i="2" s="1"/>
  <c r="D8" i="1" l="1"/>
  <c r="C8" i="2" s="1"/>
  <c r="D9" i="1"/>
  <c r="C9" i="2" s="1"/>
  <c r="D7" i="1"/>
  <c r="C7" i="2" s="1"/>
  <c r="D6" i="1"/>
  <c r="C6" i="2" s="1"/>
  <c r="D5" i="1"/>
  <c r="C5" i="2" s="1"/>
  <c r="D2" i="1"/>
  <c r="D4" i="1"/>
  <c r="C4" i="2" s="1"/>
  <c r="D3" i="1"/>
  <c r="C3" i="2" s="1"/>
  <c r="J17" i="1" l="1"/>
  <c r="C2" i="2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tc={B627B7FA-9340-4B45-8E42-3C33B61BB777}</author>
  </authors>
  <commentList>
    <comment ref="B2" authorId="0" shapeId="0" xr:uid="{B627B7FA-9340-4B45-8E42-3C33B61BB777}">
      <text>
        <t>[Threaded comment]
Your version of Excel allows you to read this threaded comment; however, any edits to it will get removed if the file is opened in a newer version of Excel. Learn more: https://go.microsoft.com/fwlink/?linkid=870924
Comment:
    Gallstones</t>
      </text>
    </comment>
  </commentList>
</comments>
</file>

<file path=xl/sharedStrings.xml><?xml version="1.0" encoding="utf-8"?>
<sst xmlns="http://schemas.openxmlformats.org/spreadsheetml/2006/main" count="48" uniqueCount="41">
  <si>
    <t>PML</t>
  </si>
  <si>
    <t>Cholelithiasis</t>
  </si>
  <si>
    <t>Need for rehabilitation therapy</t>
  </si>
  <si>
    <t>Depression</t>
  </si>
  <si>
    <t>Anaphylactic reaction</t>
  </si>
  <si>
    <t>Hypersensitivity reaction</t>
  </si>
  <si>
    <t>Fall</t>
  </si>
  <si>
    <t>Alcohol poisoning</t>
  </si>
  <si>
    <t>Head injury</t>
  </si>
  <si>
    <t>Thermal burn</t>
  </si>
  <si>
    <t>Weight</t>
  </si>
  <si>
    <t>Tables 72 &amp; 75 in TA 127, not comprehensive!</t>
  </si>
  <si>
    <t>Cost</t>
  </si>
  <si>
    <t>TA616</t>
  </si>
  <si>
    <t>source</t>
  </si>
  <si>
    <t>TA616, TA127</t>
  </si>
  <si>
    <t>cervical dysplasia</t>
  </si>
  <si>
    <t>TA533</t>
  </si>
  <si>
    <t>TA312</t>
  </si>
  <si>
    <t>DZ22L unspecified acute lower respiratory infection, with interventions, CC 0-8 (average total HRG cost)</t>
  </si>
  <si>
    <t>VC12Z  Rehabilitation for Other Neurological Disorders (average total HRG cost)</t>
  </si>
  <si>
    <t>WH05Z Allergy or Adverse Allergic Reaction (average total HRG Cost)</t>
  </si>
  <si>
    <t>GA10H  Laparoscopic Cholecystectomy, 19 years and over, with CC Score 4+ (average on-elective long stay HRG cost)</t>
  </si>
  <si>
    <t>LA04H Kidney or Urinary Tract Infections, with Interventions, with CC Score 12+ (average non-elective long stay HRG cost)</t>
  </si>
  <si>
    <t xml:space="preserve">CB0A1 Malignant, Ear, Nose, Mouth, Throat or Neck Disorders,
with Interventions, with CC Score 9+ (average non-elective long stay HRG cost) </t>
  </si>
  <si>
    <t>FD05B Abdominal Pain without Interventions  (average total HRG cost)</t>
  </si>
  <si>
    <t>RD07Z  Magnetic Resonance Imaging Scan Requiring Extensive Patient Repositioning (average total HRG cost £334) 
SA44A single Plasma Exchange (average non-elctive long stay HRG cost £934) 
HC72A Diagnostic Spinal Puncture, 19 years and over (average non-elective inpatient long stay HRG cost £1,645.02)
WH07A Hospitalisation Infections or other complications of proceedures with Multiple Intervantions with CC Score 2+ (avearge non-elective long stay HRG cost £11,420)</t>
  </si>
  <si>
    <t>52x WF01B/C Medical Psychotherapy Service Concultant led Non-Admitted Face-to-Face Attendance first visit / follow up visits</t>
  </si>
  <si>
    <t>TA767, TA699</t>
  </si>
  <si>
    <t>TA699</t>
  </si>
  <si>
    <t>duration</t>
  </si>
  <si>
    <t>Utility decrement (per event)</t>
  </si>
  <si>
    <t>Utility decrement (annual)</t>
  </si>
  <si>
    <t>Breast cancer</t>
  </si>
  <si>
    <t>Gastritis</t>
  </si>
  <si>
    <t>Urinary tract infection</t>
  </si>
  <si>
    <t>Convulsion</t>
  </si>
  <si>
    <t>Serious Adverse events</t>
  </si>
  <si>
    <t>Incidence</t>
  </si>
  <si>
    <t xml:space="preserve">Utility decrement </t>
  </si>
  <si>
    <t>Total 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</si>
</sst>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2" borderId="2" xfId="0" applyFont="1" applyFill="1" applyBorder="1" applyAlignment="1">
      <alignment vertical="center" wrapText="1"/>
    </xf>
    <xf numFmtId="164" fontId="0" fillId="2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man Sadek" id="{E9187FE7-E231-436F-9D62-2CC360ECEE9E}" userId="S::po22525@bristol.ac.uk::752c5ff3-fa6e-41ca-8b19-8aac695725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10-08T19:18:47.02" personId="{E9187FE7-E231-436F-9D62-2CC360ECEE9E}" id="{B627B7FA-9340-4B45-8E42-3C33B61BB777}">
    <text>Gallstones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307C-893C-4499-ACD2-8D2A054C3846}">
  <dimension ref="B1:N19"/>
  <sheetViews>
    <sheetView tabSelected="1" zoomScaleNormal="100" workbookViewId="0">
      <selection activeCell="O4" sqref="O4"/>
    </sheetView>
  </sheetViews>
  <sheetFormatPr defaultRowHeight="14.4" x14ac:dyDescent="0.3"/>
  <cols>
    <col min="2" max="2" width="32" customWidth="1"/>
    <col min="3" max="3" width="14.21875" customWidth="1"/>
    <col min="5" max="5" width="10" bestFit="1" customWidth="1"/>
    <col min="6" max="6" width="6.77734375" customWidth="1"/>
    <col min="7" max="7" width="62.77734375" customWidth="1"/>
    <col min="8" max="8" width="12.33203125" customWidth="1"/>
    <col min="9" max="9" width="13.109375" customWidth="1"/>
    <col min="10" max="10" width="14" customWidth="1"/>
    <col min="11" max="11" width="12.77734375" customWidth="1"/>
    <col min="12" max="12" width="3" customWidth="1"/>
    <col min="13" max="13" width="3.33203125" customWidth="1"/>
    <col min="14" max="14" width="3" customWidth="1"/>
  </cols>
  <sheetData>
    <row r="1" spans="2:14" ht="43.2" x14ac:dyDescent="0.3">
      <c r="B1" s="10" t="s">
        <v>37</v>
      </c>
      <c r="C1" s="10" t="s">
        <v>38</v>
      </c>
      <c r="D1" s="10" t="s">
        <v>10</v>
      </c>
      <c r="E1" s="13" t="s">
        <v>12</v>
      </c>
      <c r="F1" s="10" t="s">
        <v>14</v>
      </c>
      <c r="G1" s="12"/>
      <c r="H1" s="11" t="s">
        <v>32</v>
      </c>
      <c r="I1" s="11" t="s">
        <v>30</v>
      </c>
      <c r="J1" s="13" t="s">
        <v>31</v>
      </c>
      <c r="K1" s="11" t="s">
        <v>14</v>
      </c>
      <c r="L1" s="6"/>
      <c r="M1" s="6"/>
      <c r="N1" s="6"/>
    </row>
    <row r="2" spans="2:14" s="1" customFormat="1" ht="28.8" x14ac:dyDescent="0.3">
      <c r="B2" s="7" t="s">
        <v>1</v>
      </c>
      <c r="C2" s="18">
        <v>0.01</v>
      </c>
      <c r="D2" s="18">
        <f t="shared" ref="D2:D16" si="0">C2/SUM($C$2:$C$10)</f>
        <v>0.11111111111111112</v>
      </c>
      <c r="E2" s="19">
        <v>9006.3522239901795</v>
      </c>
      <c r="F2" s="5"/>
      <c r="G2" s="2" t="s">
        <v>22</v>
      </c>
      <c r="H2" s="22"/>
      <c r="I2" s="23"/>
      <c r="J2" s="24">
        <v>0</v>
      </c>
      <c r="K2" s="5"/>
    </row>
    <row r="3" spans="2:14" s="1" customFormat="1" ht="28.8" x14ac:dyDescent="0.3">
      <c r="B3" s="7" t="s">
        <v>2</v>
      </c>
      <c r="C3" s="18">
        <v>0.01</v>
      </c>
      <c r="D3" s="18">
        <f t="shared" si="0"/>
        <v>0.11111111111111112</v>
      </c>
      <c r="E3" s="19">
        <v>618.37825303111106</v>
      </c>
      <c r="F3" s="5"/>
      <c r="G3" s="2" t="s">
        <v>20</v>
      </c>
      <c r="H3" s="22"/>
      <c r="I3" s="23"/>
      <c r="J3" s="24">
        <v>0</v>
      </c>
      <c r="K3" s="5"/>
    </row>
    <row r="4" spans="2:14" s="1" customFormat="1" ht="28.8" x14ac:dyDescent="0.3">
      <c r="B4" s="1" t="s">
        <v>35</v>
      </c>
      <c r="C4" s="20">
        <v>0.01</v>
      </c>
      <c r="D4" s="20">
        <f t="shared" si="0"/>
        <v>0.11111111111111112</v>
      </c>
      <c r="E4" s="14">
        <v>7041.01274130196</v>
      </c>
      <c r="F4" s="2"/>
      <c r="G4" s="2" t="s">
        <v>23</v>
      </c>
      <c r="H4" s="25">
        <v>-0.1</v>
      </c>
      <c r="I4" s="26">
        <v>5</v>
      </c>
      <c r="J4" s="27">
        <f t="shared" ref="J4:J10" si="1">H4/365.25*I4</f>
        <v>-1.3689253935660506E-3</v>
      </c>
      <c r="K4" s="2" t="s">
        <v>28</v>
      </c>
    </row>
    <row r="5" spans="2:14" s="1" customFormat="1" ht="28.8" x14ac:dyDescent="0.3">
      <c r="B5" s="1" t="s">
        <v>3</v>
      </c>
      <c r="C5" s="20">
        <v>0.01</v>
      </c>
      <c r="D5" s="20">
        <f t="shared" si="0"/>
        <v>0.11111111111111112</v>
      </c>
      <c r="E5" s="21">
        <f>449.180326951332 +(51*413.18)</f>
        <v>21521.360326951333</v>
      </c>
      <c r="F5" s="2" t="s">
        <v>17</v>
      </c>
      <c r="G5" s="2" t="s">
        <v>27</v>
      </c>
      <c r="H5" s="25">
        <v>-0.56000000000000005</v>
      </c>
      <c r="I5" s="26">
        <v>365.25</v>
      </c>
      <c r="J5" s="27">
        <f t="shared" si="1"/>
        <v>-0.56000000000000005</v>
      </c>
      <c r="K5" s="2" t="s">
        <v>29</v>
      </c>
    </row>
    <row r="6" spans="2:14" s="1" customFormat="1" ht="28.8" x14ac:dyDescent="0.3">
      <c r="B6" s="3" t="s">
        <v>4</v>
      </c>
      <c r="C6" s="20">
        <v>0.01</v>
      </c>
      <c r="D6" s="20">
        <f t="shared" si="0"/>
        <v>0.11111111111111112</v>
      </c>
      <c r="E6" s="14">
        <v>3236</v>
      </c>
      <c r="F6" s="2" t="s">
        <v>15</v>
      </c>
      <c r="G6" s="2" t="s">
        <v>19</v>
      </c>
      <c r="H6" s="25">
        <v>-1</v>
      </c>
      <c r="I6" s="26">
        <v>7</v>
      </c>
      <c r="J6" s="27">
        <f t="shared" si="1"/>
        <v>-1.9164955509924708E-2</v>
      </c>
      <c r="K6" s="2" t="s">
        <v>18</v>
      </c>
    </row>
    <row r="7" spans="2:14" s="1" customFormat="1" x14ac:dyDescent="0.3">
      <c r="B7" s="3" t="s">
        <v>5</v>
      </c>
      <c r="C7" s="20">
        <v>0.01</v>
      </c>
      <c r="D7" s="20">
        <f t="shared" si="0"/>
        <v>0.11111111111111112</v>
      </c>
      <c r="E7" s="14">
        <v>541.61143888136269</v>
      </c>
      <c r="F7" s="2"/>
      <c r="G7" s="2" t="s">
        <v>21</v>
      </c>
      <c r="H7" s="25">
        <v>-1</v>
      </c>
      <c r="I7" s="26">
        <v>7</v>
      </c>
      <c r="J7" s="27">
        <f t="shared" si="1"/>
        <v>-1.9164955509924708E-2</v>
      </c>
      <c r="K7" s="2" t="s">
        <v>13</v>
      </c>
    </row>
    <row r="8" spans="2:14" s="1" customFormat="1" ht="43.2" x14ac:dyDescent="0.3">
      <c r="B8" s="1" t="s">
        <v>33</v>
      </c>
      <c r="C8" s="20">
        <v>0.01</v>
      </c>
      <c r="D8" s="20">
        <f t="shared" si="0"/>
        <v>0.11111111111111112</v>
      </c>
      <c r="E8" s="14">
        <v>14212.8245894992</v>
      </c>
      <c r="F8" s="2" t="s">
        <v>13</v>
      </c>
      <c r="G8" s="2" t="s">
        <v>24</v>
      </c>
      <c r="H8" s="28">
        <v>-0.11600000000000001</v>
      </c>
      <c r="I8" s="26">
        <v>365.25</v>
      </c>
      <c r="J8" s="27">
        <f t="shared" si="1"/>
        <v>-0.11600000000000001</v>
      </c>
      <c r="K8" s="2" t="s">
        <v>13</v>
      </c>
    </row>
    <row r="9" spans="2:14" s="1" customFormat="1" x14ac:dyDescent="0.3">
      <c r="B9" s="1" t="s">
        <v>34</v>
      </c>
      <c r="C9" s="20">
        <v>0.01</v>
      </c>
      <c r="D9" s="20">
        <f t="shared" si="0"/>
        <v>0.11111111111111112</v>
      </c>
      <c r="E9" s="14">
        <v>706.53899999999999</v>
      </c>
      <c r="F9" s="2" t="s">
        <v>13</v>
      </c>
      <c r="G9" s="2" t="s">
        <v>25</v>
      </c>
      <c r="H9" s="25">
        <v>-7.0000000000000007E-2</v>
      </c>
      <c r="I9" s="26">
        <v>24.5</v>
      </c>
      <c r="J9" s="27">
        <f t="shared" si="1"/>
        <v>-4.6954140999315545E-3</v>
      </c>
      <c r="K9" s="2" t="s">
        <v>13</v>
      </c>
    </row>
    <row r="10" spans="2:14" s="1" customFormat="1" ht="129.6" x14ac:dyDescent="0.3">
      <c r="B10" s="3" t="s">
        <v>0</v>
      </c>
      <c r="C10" s="20">
        <v>0.01</v>
      </c>
      <c r="D10" s="20">
        <f t="shared" si="0"/>
        <v>0.11111111111111112</v>
      </c>
      <c r="E10" s="14">
        <f>334+934+1645.02+11420</f>
        <v>14333.02</v>
      </c>
      <c r="F10" s="1" t="s">
        <v>17</v>
      </c>
      <c r="G10" s="2" t="s">
        <v>26</v>
      </c>
      <c r="H10" s="29">
        <v>-0.3</v>
      </c>
      <c r="I10" s="26">
        <v>365.25</v>
      </c>
      <c r="J10" s="27">
        <f t="shared" si="1"/>
        <v>-0.3</v>
      </c>
      <c r="K10" s="1" t="s">
        <v>28</v>
      </c>
    </row>
    <row r="11" spans="2:14" s="1" customFormat="1" x14ac:dyDescent="0.3">
      <c r="B11" s="4" t="s">
        <v>6</v>
      </c>
      <c r="C11" s="4">
        <v>0.01</v>
      </c>
      <c r="D11" s="4"/>
      <c r="E11" s="15"/>
      <c r="F11" s="5"/>
      <c r="H11" s="2"/>
      <c r="I11" s="2"/>
      <c r="J11" s="17"/>
    </row>
    <row r="12" spans="2:14" s="1" customFormat="1" x14ac:dyDescent="0.3">
      <c r="B12" s="4" t="s">
        <v>36</v>
      </c>
      <c r="C12" s="4">
        <v>0.01</v>
      </c>
      <c r="D12" s="4"/>
      <c r="E12" s="15"/>
      <c r="F12" s="2"/>
      <c r="H12" s="2"/>
      <c r="I12" s="2"/>
      <c r="J12" s="17"/>
    </row>
    <row r="13" spans="2:14" s="1" customFormat="1" x14ac:dyDescent="0.3">
      <c r="B13" s="4" t="s">
        <v>16</v>
      </c>
      <c r="C13" s="4">
        <v>0.01</v>
      </c>
      <c r="D13" s="4"/>
      <c r="E13" s="15"/>
      <c r="F13" s="2"/>
      <c r="G13" s="2"/>
      <c r="H13" s="2"/>
      <c r="I13" s="2"/>
      <c r="J13" s="17"/>
    </row>
    <row r="14" spans="2:14" s="1" customFormat="1" x14ac:dyDescent="0.3">
      <c r="B14" s="4" t="s">
        <v>7</v>
      </c>
      <c r="C14" s="4">
        <v>0.01</v>
      </c>
      <c r="D14" s="4"/>
      <c r="E14" s="15"/>
      <c r="F14" s="2"/>
      <c r="H14" s="2"/>
      <c r="I14" s="2"/>
      <c r="J14" s="17"/>
    </row>
    <row r="15" spans="2:14" s="1" customFormat="1" x14ac:dyDescent="0.3">
      <c r="B15" s="4" t="s">
        <v>8</v>
      </c>
      <c r="C15" s="4">
        <v>0.01</v>
      </c>
      <c r="D15" s="4"/>
      <c r="E15" s="15"/>
      <c r="F15" s="2"/>
      <c r="H15" s="2"/>
      <c r="I15" s="2"/>
      <c r="J15" s="17"/>
    </row>
    <row r="16" spans="2:14" s="1" customFormat="1" x14ac:dyDescent="0.3">
      <c r="B16" s="4" t="s">
        <v>9</v>
      </c>
      <c r="C16" s="4">
        <v>0.01</v>
      </c>
      <c r="D16" s="4"/>
      <c r="E16" s="15"/>
      <c r="F16" s="2"/>
      <c r="H16" s="2"/>
      <c r="I16" s="2"/>
      <c r="J16" s="17"/>
    </row>
    <row r="17" spans="2:11" s="1" customFormat="1" ht="15" thickBot="1" x14ac:dyDescent="0.35">
      <c r="B17" s="8" t="s">
        <v>40</v>
      </c>
      <c r="C17" s="8"/>
      <c r="D17" s="8"/>
      <c r="E17" s="16">
        <f>SUMPRODUCT(E2:E10,D2:D10)</f>
        <v>7913.0109526283495</v>
      </c>
      <c r="F17" s="9"/>
      <c r="G17" s="9"/>
      <c r="H17" s="9"/>
      <c r="I17" s="9"/>
      <c r="J17" s="16">
        <f>SUMPRODUCT(J2:J10,D2:D10)</f>
        <v>-0.11337713894592744</v>
      </c>
      <c r="K17" s="9"/>
    </row>
    <row r="18" spans="2:11" ht="15" thickTop="1" x14ac:dyDescent="0.3"/>
    <row r="19" spans="2:11" x14ac:dyDescent="0.3">
      <c r="B19" t="s">
        <v>11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0D70-1208-4372-B0F5-CFC0E19034E2}">
  <dimension ref="A1:E10"/>
  <sheetViews>
    <sheetView workbookViewId="0">
      <selection activeCell="C21" sqref="C21"/>
    </sheetView>
  </sheetViews>
  <sheetFormatPr defaultRowHeight="14.4" x14ac:dyDescent="0.3"/>
  <cols>
    <col min="1" max="1" width="23" customWidth="1"/>
  </cols>
  <sheetData>
    <row r="1" spans="1:5" x14ac:dyDescent="0.3">
      <c r="A1" t="str">
        <f>info!B1</f>
        <v>Serious Adverse events</v>
      </c>
      <c r="B1" t="str">
        <f>info!C1</f>
        <v>Incidence</v>
      </c>
      <c r="C1" t="str">
        <f>info!D1</f>
        <v>Weight</v>
      </c>
      <c r="D1" t="str">
        <f>info!E1</f>
        <v>Cost</v>
      </c>
      <c r="E1" t="s">
        <v>39</v>
      </c>
    </row>
    <row r="2" spans="1:5" x14ac:dyDescent="0.3">
      <c r="A2" t="str">
        <f>info!B2</f>
        <v>Cholelithiasis</v>
      </c>
      <c r="B2">
        <f>info!C2</f>
        <v>0.01</v>
      </c>
      <c r="C2">
        <f>info!D2</f>
        <v>0.11111111111111112</v>
      </c>
      <c r="D2">
        <f>info!E2</f>
        <v>9006.3522239901795</v>
      </c>
      <c r="E2">
        <f>info!J2</f>
        <v>0</v>
      </c>
    </row>
    <row r="3" spans="1:5" x14ac:dyDescent="0.3">
      <c r="A3" t="str">
        <f>info!B3</f>
        <v>Need for rehabilitation therapy</v>
      </c>
      <c r="B3">
        <f>info!C3</f>
        <v>0.01</v>
      </c>
      <c r="C3">
        <f>info!D3</f>
        <v>0.11111111111111112</v>
      </c>
      <c r="D3">
        <f>info!E3</f>
        <v>618.37825303111106</v>
      </c>
      <c r="E3">
        <f>info!J3</f>
        <v>0</v>
      </c>
    </row>
    <row r="4" spans="1:5" x14ac:dyDescent="0.3">
      <c r="A4" t="str">
        <f>info!B4</f>
        <v>Urinary tract infection</v>
      </c>
      <c r="B4">
        <f>info!C4</f>
        <v>0.01</v>
      </c>
      <c r="C4">
        <f>info!D4</f>
        <v>0.11111111111111112</v>
      </c>
      <c r="D4">
        <f>info!E4</f>
        <v>7041.01274130196</v>
      </c>
      <c r="E4">
        <f>info!J4</f>
        <v>-1.3689253935660506E-3</v>
      </c>
    </row>
    <row r="5" spans="1:5" x14ac:dyDescent="0.3">
      <c r="A5" t="str">
        <f>info!B5</f>
        <v>Depression</v>
      </c>
      <c r="B5">
        <f>info!C5</f>
        <v>0.01</v>
      </c>
      <c r="C5">
        <f>info!D5</f>
        <v>0.11111111111111112</v>
      </c>
      <c r="D5">
        <f>info!E5</f>
        <v>21521.360326951333</v>
      </c>
      <c r="E5">
        <f>info!J5</f>
        <v>-0.56000000000000005</v>
      </c>
    </row>
    <row r="6" spans="1:5" x14ac:dyDescent="0.3">
      <c r="A6" t="str">
        <f>info!B6</f>
        <v>Anaphylactic reaction</v>
      </c>
      <c r="B6">
        <f>info!C6</f>
        <v>0.01</v>
      </c>
      <c r="C6">
        <f>info!D6</f>
        <v>0.11111111111111112</v>
      </c>
      <c r="D6">
        <f>info!E6</f>
        <v>3236</v>
      </c>
      <c r="E6">
        <f>info!J6</f>
        <v>-1.9164955509924708E-2</v>
      </c>
    </row>
    <row r="7" spans="1:5" x14ac:dyDescent="0.3">
      <c r="A7" t="str">
        <f>info!B7</f>
        <v>Hypersensitivity reaction</v>
      </c>
      <c r="B7">
        <f>info!C7</f>
        <v>0.01</v>
      </c>
      <c r="C7">
        <f>info!D7</f>
        <v>0.11111111111111112</v>
      </c>
      <c r="D7">
        <f>info!E7</f>
        <v>541.61143888136269</v>
      </c>
      <c r="E7">
        <f>info!J7</f>
        <v>-1.9164955509924708E-2</v>
      </c>
    </row>
    <row r="8" spans="1:5" x14ac:dyDescent="0.3">
      <c r="A8" t="str">
        <f>info!B8</f>
        <v>Breast cancer</v>
      </c>
      <c r="B8">
        <f>info!C8</f>
        <v>0.01</v>
      </c>
      <c r="C8">
        <f>info!D8</f>
        <v>0.11111111111111112</v>
      </c>
      <c r="D8">
        <f>info!E8</f>
        <v>14212.8245894992</v>
      </c>
      <c r="E8">
        <f>info!J8</f>
        <v>-0.11600000000000001</v>
      </c>
    </row>
    <row r="9" spans="1:5" x14ac:dyDescent="0.3">
      <c r="A9" t="str">
        <f>info!B9</f>
        <v>Gastritis</v>
      </c>
      <c r="B9">
        <f>info!C9</f>
        <v>0.01</v>
      </c>
      <c r="C9">
        <f>info!D9</f>
        <v>0.11111111111111112</v>
      </c>
      <c r="D9">
        <f>info!E9</f>
        <v>706.53899999999999</v>
      </c>
      <c r="E9">
        <f>info!J9</f>
        <v>-4.6954140999315545E-3</v>
      </c>
    </row>
    <row r="10" spans="1:5" x14ac:dyDescent="0.3">
      <c r="A10" t="str">
        <f>info!B10</f>
        <v>PML</v>
      </c>
      <c r="B10">
        <f>info!C10</f>
        <v>0.01</v>
      </c>
      <c r="C10">
        <f>info!D10</f>
        <v>0.11111111111111112</v>
      </c>
      <c r="D10">
        <f>info!E10</f>
        <v>14333.02</v>
      </c>
      <c r="E10">
        <f>info!J10</f>
        <v>-0.3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AFD56-88E6-4F85-A4A3-ACDFC1A919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BD0801-E71B-4F09-BC3B-CAA3F3ED17A9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3.xml><?xml version="1.0" encoding="utf-8"?>
<ds:datastoreItem xmlns:ds="http://schemas.openxmlformats.org/officeDocument/2006/customXml" ds:itemID="{1F8A2B81-B0D4-48C2-A79D-8244EA2E16F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model_input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Sadek</dc:creator>
  <cp:lastModifiedBy>Ayman Sadek</cp:lastModifiedBy>
  <dcterms:created xsi:type="dcterms:W3CDTF">2024-10-08T13:16:26Z</dcterms:created>
  <dcterms:modified xsi:type="dcterms:W3CDTF">2024-10-29T11:01:09Z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