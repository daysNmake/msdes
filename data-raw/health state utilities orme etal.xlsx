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MTA/data-raw/"/>
    </mc:Choice>
  </mc:AlternateContent>
  <xr:revisionPtr revIDLastSave="2" documentId="8_{2EEADA1C-F0C1-43FB-B30E-82D57E1BFCAF}" xr6:coauthVersionLast="47" xr6:coauthVersionMax="47" xr10:uidLastSave="{99C1B6EE-44A6-4F5F-9B81-2C6DA0B00B0E}"/>
  <bookViews>
    <workbookView xWindow="-15" yWindow="-16320" windowWidth="29040" windowHeight="15720" xr2:uid="{54ED9A48-3AE7-459F-A7F8-B9ABC2734816}"/>
  </bookViews>
  <sheets>
    <sheet name="UK MS Survey 20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3" i="1"/>
  <c r="E4" i="1"/>
  <c r="E5" i="1"/>
  <c r="E6" i="1"/>
  <c r="E7" i="1"/>
  <c r="G7" i="1" s="1"/>
  <c r="I7" i="1" s="1"/>
  <c r="E8" i="1"/>
  <c r="G8" i="1" s="1"/>
  <c r="I8" i="1" s="1"/>
  <c r="E9" i="1"/>
  <c r="E10" i="1"/>
  <c r="E11" i="1"/>
  <c r="E14" i="1"/>
  <c r="E2" i="1"/>
  <c r="G6" i="1" s="1"/>
  <c r="I6" i="1" s="1"/>
  <c r="H10" i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F11" i="1"/>
  <c r="H11" i="1" s="1"/>
  <c r="F3" i="1"/>
  <c r="H3" i="1" s="1"/>
  <c r="F2" i="1"/>
  <c r="H2" i="1" s="1"/>
  <c r="G4" i="1" l="1"/>
  <c r="I4" i="1" s="1"/>
  <c r="G3" i="1"/>
  <c r="G5" i="1"/>
  <c r="I5" i="1" s="1"/>
  <c r="G2" i="1"/>
  <c r="I2" i="1" s="1"/>
  <c r="G11" i="1"/>
  <c r="G10" i="1"/>
  <c r="I10" i="1" s="1"/>
  <c r="G9" i="1"/>
  <c r="I9" i="1" s="1"/>
  <c r="I3" i="1"/>
  <c r="I11" i="1"/>
</calcChain>
</file>

<file path=xl/sharedStrings.xml><?xml version="1.0" encoding="utf-8"?>
<sst xmlns="http://schemas.openxmlformats.org/spreadsheetml/2006/main" count="26" uniqueCount="26">
  <si>
    <t>Mean</t>
  </si>
  <si>
    <t>LCI</t>
  </si>
  <si>
    <t>UCI</t>
  </si>
  <si>
    <t>EDSS0</t>
  </si>
  <si>
    <t>EDSS1</t>
  </si>
  <si>
    <t>EDSS2</t>
  </si>
  <si>
    <t>EDSS3</t>
  </si>
  <si>
    <t>EDSS4</t>
  </si>
  <si>
    <t>EDSS5</t>
  </si>
  <si>
    <t>EDSS6</t>
  </si>
  <si>
    <t>EDSS7</t>
  </si>
  <si>
    <t>EDSS8</t>
  </si>
  <si>
    <t>EDSS9</t>
  </si>
  <si>
    <t xml:space="preserve">SPMS </t>
  </si>
  <si>
    <t xml:space="preserve">Years since diagnosis </t>
  </si>
  <si>
    <r>
      <t>0.002</t>
    </r>
    <r>
      <rPr>
        <sz val="8"/>
        <color theme="1"/>
        <rFont val="Calibri"/>
        <family val="2"/>
      </rPr>
      <t>   </t>
    </r>
  </si>
  <si>
    <r>
      <t> </t>
    </r>
    <r>
      <rPr>
        <sz val="10"/>
        <color theme="1"/>
        <rFont val="Calibri"/>
        <family val="2"/>
      </rPr>
      <t>Add a footnote to say how this was defined.</t>
    </r>
  </si>
  <si>
    <r>
      <t> </t>
    </r>
    <r>
      <rPr>
        <sz val="10"/>
        <color theme="1"/>
        <rFont val="Calibri"/>
        <family val="2"/>
      </rPr>
      <t>What does this mean? Is it a linear model with some intercept utility (not provided in table) and the 0.002 is the slope?</t>
    </r>
  </si>
  <si>
    <r>
      <t> </t>
    </r>
    <r>
      <rPr>
        <sz val="10"/>
        <color theme="1"/>
        <rFont val="Calibri"/>
        <family val="2"/>
      </rPr>
      <t>The intercept was not presented in the paper so I think it’s EDSS0 because for example the utility of an RRMS EDSS1 patient will = 0.87-0.071 and for an SPMS EDSS1 patient will = 0.87-0.071-0.045. Accordingly one might add in 0.002*n_years?</t>
    </r>
  </si>
  <si>
    <r>
      <t> </t>
    </r>
    <r>
      <rPr>
        <sz val="10"/>
        <color theme="1"/>
        <rFont val="Calibri"/>
        <family val="2"/>
      </rPr>
      <t>Yes it looks like it’s added. It might reflect the improvement in QoL due to adaptation to symptoms so we should include.</t>
    </r>
  </si>
  <si>
    <t>rrms_mean</t>
  </si>
  <si>
    <t>rrms_sd</t>
  </si>
  <si>
    <t>spms_mean</t>
  </si>
  <si>
    <t>spms_sd</t>
  </si>
  <si>
    <r>
      <t>recent_relapse</t>
    </r>
    <r>
      <rPr>
        <sz val="8"/>
        <color theme="1"/>
        <rFont val="Calibri"/>
        <family val="2"/>
      </rPr>
      <t> </t>
    </r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</si>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</sst>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 applyAlignment="1">
      <alignment vertical="center"/>
    </xf>
    <xf numFmtId="168" fontId="0" fillId="0" borderId="0" xfId="0" applyNumberFormat="1"/>
    <xf numFmtId="0" fontId="3" fillId="0" borderId="0" xfId="0" applyFont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168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122A-FBD2-471E-A6B4-92A15BBA73D7}">
  <dimension ref="A1:I18"/>
  <sheetViews>
    <sheetView tabSelected="1" workbookViewId="0">
      <selection activeCell="R12" sqref="R12"/>
    </sheetView>
  </sheetViews>
  <sheetFormatPr defaultRowHeight="14.4" x14ac:dyDescent="0.3"/>
  <cols>
    <col min="1" max="1" width="19.33203125" customWidth="1"/>
    <col min="6" max="9" width="11.77734375" customWidth="1"/>
  </cols>
  <sheetData>
    <row r="1" spans="1:9" x14ac:dyDescent="0.3">
      <c r="A1" s="4"/>
      <c r="B1" s="5" t="s">
        <v>0</v>
      </c>
      <c r="C1" s="5" t="s">
        <v>1</v>
      </c>
      <c r="D1" s="5" t="s">
        <v>2</v>
      </c>
      <c r="E1" s="5" t="s">
        <v>25</v>
      </c>
      <c r="F1" s="5" t="s">
        <v>20</v>
      </c>
      <c r="G1" s="5" t="s">
        <v>21</v>
      </c>
      <c r="H1" s="5" t="s">
        <v>22</v>
      </c>
      <c r="I1" s="5" t="s">
        <v>23</v>
      </c>
    </row>
    <row r="2" spans="1:9" x14ac:dyDescent="0.3">
      <c r="A2" s="3" t="s">
        <v>3</v>
      </c>
      <c r="B2" s="3">
        <v>0.87</v>
      </c>
      <c r="C2" s="3">
        <v>0.78200000000000003</v>
      </c>
      <c r="D2" s="3">
        <v>0.95799999999999996</v>
      </c>
      <c r="E2" s="6">
        <f>(D2-C2)/3.92</f>
        <v>4.4897959183673453E-2</v>
      </c>
      <c r="F2" s="6">
        <f>B2</f>
        <v>0.87</v>
      </c>
      <c r="G2" s="6">
        <f>$E$2</f>
        <v>4.4897959183673453E-2</v>
      </c>
      <c r="H2" s="6">
        <f>F2+$B$13</f>
        <v>0.82499999999999996</v>
      </c>
      <c r="I2" s="6">
        <f>G2+$E$13</f>
        <v>6.0714285714285693E-2</v>
      </c>
    </row>
    <row r="3" spans="1:9" x14ac:dyDescent="0.3">
      <c r="A3" s="3" t="s">
        <v>4</v>
      </c>
      <c r="B3" s="3">
        <v>-7.0999999999999994E-2</v>
      </c>
      <c r="C3" s="3">
        <v>-0.16500000000000001</v>
      </c>
      <c r="D3" s="3">
        <v>2.3E-2</v>
      </c>
      <c r="E3" s="6">
        <f t="shared" ref="E3:E14" si="0">(D3-C3)/3.92</f>
        <v>4.7959183673469387E-2</v>
      </c>
      <c r="F3" s="6">
        <f>$B$2+B3</f>
        <v>0.79900000000000004</v>
      </c>
      <c r="G3" s="6">
        <f>$E$2+E3</f>
        <v>9.2857142857142833E-2</v>
      </c>
      <c r="H3" s="6">
        <f>F3+$B$13</f>
        <v>0.754</v>
      </c>
      <c r="I3" s="6">
        <f>G3+$E$13</f>
        <v>0.10867346938775507</v>
      </c>
    </row>
    <row r="4" spans="1:9" x14ac:dyDescent="0.3">
      <c r="A4" s="3" t="s">
        <v>5</v>
      </c>
      <c r="B4" s="3">
        <v>-0.16500000000000001</v>
      </c>
      <c r="C4" s="3">
        <v>-0.25900000000000001</v>
      </c>
      <c r="D4" s="3">
        <v>-7.1999999999999995E-2</v>
      </c>
      <c r="E4" s="6">
        <f t="shared" si="0"/>
        <v>4.7704081632653064E-2</v>
      </c>
      <c r="F4" s="6">
        <f t="shared" ref="F4:F11" si="1">$B$2+B4</f>
        <v>0.70499999999999996</v>
      </c>
      <c r="G4" s="6">
        <f t="shared" ref="G4:G11" si="2">$E$2+E4</f>
        <v>9.2602040816326517E-2</v>
      </c>
      <c r="H4" s="6">
        <f>F4+$B$13</f>
        <v>0.65999999999999992</v>
      </c>
      <c r="I4" s="6">
        <f>G4+$E$13</f>
        <v>0.10841836734693876</v>
      </c>
    </row>
    <row r="5" spans="1:9" x14ac:dyDescent="0.3">
      <c r="A5" s="3" t="s">
        <v>6</v>
      </c>
      <c r="B5" s="3">
        <v>-0.29599999999999999</v>
      </c>
      <c r="C5" s="3">
        <v>-0.39800000000000002</v>
      </c>
      <c r="D5" s="3">
        <v>-0.19500000000000001</v>
      </c>
      <c r="E5" s="6">
        <f t="shared" si="0"/>
        <v>5.1785714285714289E-2</v>
      </c>
      <c r="F5" s="6">
        <f t="shared" si="1"/>
        <v>0.57400000000000007</v>
      </c>
      <c r="G5" s="6">
        <f t="shared" si="2"/>
        <v>9.6683673469387749E-2</v>
      </c>
      <c r="H5" s="6">
        <f>F5+$B$13</f>
        <v>0.52900000000000003</v>
      </c>
      <c r="I5" s="6">
        <f>G5+$E$13</f>
        <v>0.11249999999999999</v>
      </c>
    </row>
    <row r="6" spans="1:9" x14ac:dyDescent="0.3">
      <c r="A6" s="3" t="s">
        <v>7</v>
      </c>
      <c r="B6" s="3">
        <v>-0.26</v>
      </c>
      <c r="C6" s="3">
        <v>-0.35399999999999998</v>
      </c>
      <c r="D6" s="3">
        <v>-0.16700000000000001</v>
      </c>
      <c r="E6" s="6">
        <f t="shared" si="0"/>
        <v>4.7704081632653057E-2</v>
      </c>
      <c r="F6" s="6">
        <f t="shared" si="1"/>
        <v>0.61</v>
      </c>
      <c r="G6" s="6">
        <f t="shared" si="2"/>
        <v>9.2602040816326503E-2</v>
      </c>
      <c r="H6" s="6">
        <f>F6+$B$13</f>
        <v>0.56499999999999995</v>
      </c>
      <c r="I6" s="6">
        <f>G6+$E$13</f>
        <v>0.10841836734693874</v>
      </c>
    </row>
    <row r="7" spans="1:9" x14ac:dyDescent="0.3">
      <c r="A7" s="3" t="s">
        <v>8</v>
      </c>
      <c r="B7" s="3">
        <v>-0.35199999999999998</v>
      </c>
      <c r="C7" s="3">
        <v>-0.44400000000000001</v>
      </c>
      <c r="D7" s="3">
        <v>-0.26</v>
      </c>
      <c r="E7" s="6">
        <f t="shared" si="0"/>
        <v>4.6938775510204082E-2</v>
      </c>
      <c r="F7" s="6">
        <f t="shared" si="1"/>
        <v>0.51800000000000002</v>
      </c>
      <c r="G7" s="6">
        <f t="shared" si="2"/>
        <v>9.1836734693877542E-2</v>
      </c>
      <c r="H7" s="6">
        <f>F7+$B$13</f>
        <v>0.47300000000000003</v>
      </c>
      <c r="I7" s="6">
        <f>G7+$E$13</f>
        <v>0.10765306122448978</v>
      </c>
    </row>
    <row r="8" spans="1:9" x14ac:dyDescent="0.3">
      <c r="A8" s="3" t="s">
        <v>9</v>
      </c>
      <c r="B8" s="3">
        <v>-0.41199999999999998</v>
      </c>
      <c r="C8" s="3">
        <v>-0.505</v>
      </c>
      <c r="D8" s="3">
        <v>-0.31900000000000001</v>
      </c>
      <c r="E8" s="6">
        <f t="shared" si="0"/>
        <v>4.7448979591836735E-2</v>
      </c>
      <c r="F8" s="6">
        <f t="shared" si="1"/>
        <v>0.45800000000000002</v>
      </c>
      <c r="G8" s="6">
        <f t="shared" si="2"/>
        <v>9.2346938775510187E-2</v>
      </c>
      <c r="H8" s="6">
        <f>F8+$B$13</f>
        <v>0.41300000000000003</v>
      </c>
      <c r="I8" s="6">
        <f>G8+$E$13</f>
        <v>0.10816326530612243</v>
      </c>
    </row>
    <row r="9" spans="1:9" x14ac:dyDescent="0.3">
      <c r="A9" s="3" t="s">
        <v>10</v>
      </c>
      <c r="B9" s="3">
        <v>-0.57299999999999995</v>
      </c>
      <c r="C9" s="3">
        <v>-0.67</v>
      </c>
      <c r="D9" s="3">
        <v>-0.47699999999999998</v>
      </c>
      <c r="E9" s="6">
        <f t="shared" si="0"/>
        <v>4.9234693877551035E-2</v>
      </c>
      <c r="F9" s="6">
        <f t="shared" si="1"/>
        <v>0.29700000000000004</v>
      </c>
      <c r="G9" s="6">
        <f t="shared" si="2"/>
        <v>9.4132653061224481E-2</v>
      </c>
      <c r="H9" s="6">
        <f>F9+$B$13</f>
        <v>0.25200000000000006</v>
      </c>
      <c r="I9" s="6">
        <f>G9+$E$13</f>
        <v>0.10994897959183672</v>
      </c>
    </row>
    <row r="10" spans="1:9" x14ac:dyDescent="0.3">
      <c r="A10" s="3" t="s">
        <v>11</v>
      </c>
      <c r="B10" s="3">
        <v>-0.91900000000000004</v>
      </c>
      <c r="C10" s="3">
        <v>-1.0169999999999999</v>
      </c>
      <c r="D10" s="3">
        <v>-0.82</v>
      </c>
      <c r="E10" s="6">
        <f t="shared" si="0"/>
        <v>5.0255102040816318E-2</v>
      </c>
      <c r="F10" s="6">
        <f t="shared" si="1"/>
        <v>-4.9000000000000044E-2</v>
      </c>
      <c r="G10" s="6">
        <f t="shared" si="2"/>
        <v>9.5153061224489771E-2</v>
      </c>
      <c r="H10" s="6">
        <f>F10+$B$13</f>
        <v>-9.4000000000000042E-2</v>
      </c>
      <c r="I10" s="6">
        <f>G10+$E$13</f>
        <v>0.11096938775510201</v>
      </c>
    </row>
    <row r="11" spans="1:9" x14ac:dyDescent="0.3">
      <c r="A11" s="3" t="s">
        <v>12</v>
      </c>
      <c r="B11" s="3">
        <v>-1.0649999999999999</v>
      </c>
      <c r="C11" s="3">
        <v>-1.21</v>
      </c>
      <c r="D11" s="3">
        <v>-0.91900000000000004</v>
      </c>
      <c r="E11" s="6">
        <f t="shared" si="0"/>
        <v>7.4234693877551008E-2</v>
      </c>
      <c r="F11" s="6">
        <f t="shared" si="1"/>
        <v>-0.19499999999999995</v>
      </c>
      <c r="G11" s="6">
        <f t="shared" si="2"/>
        <v>0.11913265306122446</v>
      </c>
      <c r="H11" s="6">
        <f>F11+$B$13</f>
        <v>-0.23999999999999994</v>
      </c>
      <c r="I11" s="6">
        <f>G11+$E$13</f>
        <v>0.13494897959183672</v>
      </c>
    </row>
    <row r="12" spans="1:9" x14ac:dyDescent="0.3">
      <c r="A12" s="3" t="s">
        <v>24</v>
      </c>
      <c r="B12" s="3">
        <v>-7.0999999999999994E-2</v>
      </c>
      <c r="C12" s="3">
        <v>-9.6000000000000002E-2</v>
      </c>
      <c r="D12" s="3">
        <v>-4.5999999999999999E-2</v>
      </c>
      <c r="E12" s="6">
        <f t="shared" si="0"/>
        <v>1.2755102040816327E-2</v>
      </c>
      <c r="F12" s="7"/>
      <c r="G12" s="7"/>
      <c r="H12" s="7"/>
      <c r="I12" s="7"/>
    </row>
    <row r="13" spans="1:9" x14ac:dyDescent="0.3">
      <c r="A13" s="3" t="s">
        <v>13</v>
      </c>
      <c r="B13" s="3">
        <v>-4.4999999999999998E-2</v>
      </c>
      <c r="C13" s="3">
        <v>-7.5999999999999998E-2</v>
      </c>
      <c r="D13" s="3">
        <v>-1.4E-2</v>
      </c>
      <c r="E13" s="6">
        <f t="shared" si="0"/>
        <v>1.5816326530612244E-2</v>
      </c>
      <c r="F13" s="6"/>
      <c r="G13" s="7"/>
      <c r="H13" s="7"/>
      <c r="I13" s="7"/>
    </row>
    <row r="14" spans="1:9" ht="31.8" customHeight="1" x14ac:dyDescent="0.3">
      <c r="A14" s="3" t="s">
        <v>14</v>
      </c>
      <c r="B14" s="3" t="s">
        <v>15</v>
      </c>
      <c r="C14" s="3">
        <v>1E-3</v>
      </c>
      <c r="D14" s="3">
        <v>3.0000000000000001E-3</v>
      </c>
      <c r="E14" s="6">
        <f t="shared" si="0"/>
        <v>5.1020408163265311E-4</v>
      </c>
      <c r="F14" s="7"/>
      <c r="G14" s="7"/>
      <c r="H14" s="7"/>
      <c r="I14" s="7"/>
    </row>
    <row r="15" spans="1:9" x14ac:dyDescent="0.3">
      <c r="A15" s="1" t="s">
        <v>16</v>
      </c>
      <c r="E15" s="2"/>
    </row>
    <row r="16" spans="1:9" x14ac:dyDescent="0.3">
      <c r="A16" s="1" t="s">
        <v>17</v>
      </c>
      <c r="E16" s="2"/>
    </row>
    <row r="17" spans="1:5" x14ac:dyDescent="0.3">
      <c r="A17" s="1" t="s">
        <v>18</v>
      </c>
      <c r="E17" s="2"/>
    </row>
    <row r="18" spans="1:5" x14ac:dyDescent="0.3">
      <c r="A18" s="1" t="s">
        <v>19</v>
      </c>
      <c r="E18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3035B5-FB2D-4858-8E2E-A3C6318F1204}"/>
</file>

<file path=customXml/itemProps2.xml><?xml version="1.0" encoding="utf-8"?>
<ds:datastoreItem xmlns:ds="http://schemas.openxmlformats.org/officeDocument/2006/customXml" ds:itemID="{820A6D2A-84E7-43BD-852F-B9C344079A33}"/>
</file>

<file path=customXml/itemProps3.xml><?xml version="1.0" encoding="utf-8"?>
<ds:datastoreItem xmlns:ds="http://schemas.openxmlformats.org/officeDocument/2006/customXml" ds:itemID="{95AEC6EA-9BFF-4B70-8AA6-5340DC6BE3E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 MS Survey 2005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Sadek</dc:creator>
  <cp:lastModifiedBy>Ayman Sadek</cp:lastModifiedBy>
  <dcterms:created xsi:type="dcterms:W3CDTF">2024-11-04T22:41:22Z</dcterms:created>
  <dcterms:modified xsi:type="dcterms:W3CDTF">2024-11-04T23:30:13Z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