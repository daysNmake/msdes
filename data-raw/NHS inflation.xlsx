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901" documentId="8_{C8493719-74C9-42C5-A488-07682FAF76F1}" xr6:coauthVersionLast="47" xr6:coauthVersionMax="47" xr10:uidLastSave="{F4A349AA-3B6F-44E3-A884-A0E8EADF3C36}"/>
  <bookViews>
    <workbookView xWindow="32880" yWindow="-15390" windowWidth="17280" windowHeight="11730" tabRatio="524" activeTab="2" xr2:uid="{04633C72-5CDF-4231-814F-2B4D767B08A7}"/>
  </bookViews>
  <sheets>
    <sheet name="Inflation index" sheetId="2" r:id="rId1"/>
    <sheet name="Severity Costs" sheetId="3" r:id="rId2"/>
    <sheet name="Relapse Cos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3" l="1"/>
  <c r="I17" i="4"/>
  <c r="F18" i="4"/>
  <c r="E18" i="4"/>
  <c r="L16" i="3"/>
  <c r="M16" i="3" s="1"/>
  <c r="K16" i="3"/>
  <c r="B20" i="2"/>
  <c r="B21" i="2"/>
  <c r="B22" i="2"/>
  <c r="B23" i="2"/>
  <c r="B24" i="2" s="1"/>
  <c r="B25" i="2" s="1"/>
  <c r="B19" i="2"/>
  <c r="B18" i="2"/>
  <c r="Y3" i="2"/>
  <c r="AB4" i="2"/>
  <c r="AC4" i="2" s="1"/>
  <c r="AB5" i="2"/>
  <c r="AB6" i="2"/>
  <c r="AC6" i="2" s="1"/>
  <c r="AB7" i="2"/>
  <c r="AC7" i="2" s="1"/>
  <c r="AB8" i="2"/>
  <c r="AC8" i="2" s="1"/>
  <c r="AB9" i="2"/>
  <c r="AC9" i="2" s="1"/>
  <c r="AB10" i="2"/>
  <c r="AC10" i="2" s="1"/>
  <c r="AB11" i="2"/>
  <c r="AC11" i="2" s="1"/>
  <c r="AB12" i="2"/>
  <c r="AC12" i="2" s="1"/>
  <c r="AB13" i="2"/>
  <c r="AC13" i="2" s="1"/>
  <c r="AB3" i="2"/>
  <c r="AC3" i="2" s="1"/>
  <c r="Z3" i="2"/>
  <c r="AA3" i="2" s="1"/>
  <c r="Z4" i="2"/>
  <c r="AA4" i="2" s="1"/>
  <c r="Z5" i="2"/>
  <c r="Z6" i="2"/>
  <c r="AA6" i="2" s="1"/>
  <c r="Z7" i="2"/>
  <c r="AA7" i="2" s="1"/>
  <c r="Z8" i="2"/>
  <c r="AA8" i="2" s="1"/>
  <c r="Z9" i="2"/>
  <c r="AA9" i="2" s="1"/>
  <c r="Z10" i="2"/>
  <c r="AA10" i="2" s="1"/>
  <c r="Z11" i="2"/>
  <c r="AA11" i="2" s="1"/>
  <c r="Z12" i="2"/>
  <c r="AA12" i="2" s="1"/>
  <c r="Z13" i="2"/>
  <c r="AA13" i="2" s="1"/>
  <c r="G3" i="2"/>
  <c r="F4" i="2"/>
  <c r="H4" i="2" s="1"/>
  <c r="F5" i="2"/>
  <c r="H5" i="2" s="1"/>
  <c r="F6" i="2"/>
  <c r="H6" i="2" s="1"/>
  <c r="E4" i="2"/>
  <c r="E5" i="2"/>
  <c r="E6" i="2"/>
  <c r="E7" i="2"/>
  <c r="E8" i="2"/>
  <c r="E9" i="2"/>
  <c r="E10" i="2"/>
  <c r="E11" i="2"/>
  <c r="E12" i="2"/>
  <c r="E13" i="2"/>
  <c r="F7" i="2"/>
  <c r="H7" i="2" s="1"/>
  <c r="F13" i="2"/>
  <c r="H13" i="2" s="1"/>
  <c r="I13" i="2" s="1"/>
  <c r="F12" i="2"/>
  <c r="H12" i="2" s="1"/>
  <c r="F11" i="2"/>
  <c r="H11" i="2" s="1"/>
  <c r="F10" i="2"/>
  <c r="H10" i="2" s="1"/>
  <c r="F9" i="2"/>
  <c r="H9" i="2" s="1"/>
  <c r="F8" i="2"/>
  <c r="H8" i="2" s="1"/>
  <c r="I8" i="2" s="1"/>
  <c r="E20" i="3" l="1"/>
  <c r="F20" i="3"/>
  <c r="E27" i="3"/>
  <c r="F34" i="3"/>
  <c r="E21" i="3"/>
  <c r="F27" i="3"/>
  <c r="E35" i="3"/>
  <c r="F21" i="3"/>
  <c r="H21" i="3" s="1"/>
  <c r="E28" i="3"/>
  <c r="F35" i="3"/>
  <c r="E22" i="3"/>
  <c r="F28" i="3"/>
  <c r="H28" i="3" s="1"/>
  <c r="E36" i="3"/>
  <c r="F22" i="3"/>
  <c r="E29" i="3"/>
  <c r="F36" i="3"/>
  <c r="E23" i="3"/>
  <c r="F29" i="3"/>
  <c r="E32" i="3"/>
  <c r="F32" i="3"/>
  <c r="F25" i="3"/>
  <c r="H25" i="3" s="1"/>
  <c r="F23" i="3"/>
  <c r="H23" i="3" s="1"/>
  <c r="E31" i="3"/>
  <c r="F24" i="3"/>
  <c r="H24" i="3" s="1"/>
  <c r="E19" i="3"/>
  <c r="E25" i="3"/>
  <c r="E24" i="3"/>
  <c r="F31" i="3"/>
  <c r="F19" i="3"/>
  <c r="F33" i="3"/>
  <c r="F26" i="3"/>
  <c r="E34" i="3"/>
  <c r="J17" i="4"/>
  <c r="K17" i="4" s="1"/>
  <c r="G4" i="4" s="1"/>
  <c r="E33" i="3"/>
  <c r="E26" i="3"/>
  <c r="E20" i="4"/>
  <c r="F20" i="4"/>
  <c r="I9" i="2"/>
  <c r="I6" i="2"/>
  <c r="I4" i="2"/>
  <c r="I5" i="2"/>
  <c r="I10" i="2"/>
  <c r="AC5" i="2"/>
  <c r="AA5" i="2"/>
  <c r="I7" i="2"/>
  <c r="I11" i="2"/>
  <c r="I12" i="2"/>
  <c r="F19" i="4" l="1"/>
  <c r="H26" i="3"/>
  <c r="G26" i="3"/>
  <c r="G22" i="3"/>
  <c r="F24" i="4"/>
  <c r="H27" i="3"/>
  <c r="F22" i="4"/>
  <c r="E23" i="4"/>
  <c r="H19" i="3"/>
  <c r="G23" i="3"/>
  <c r="G21" i="3"/>
  <c r="E22" i="4"/>
  <c r="E24" i="4"/>
  <c r="G24" i="3"/>
  <c r="G29" i="3"/>
  <c r="H20" i="3"/>
  <c r="F21" i="4"/>
  <c r="G28" i="3"/>
  <c r="E21" i="4"/>
  <c r="G27" i="3"/>
  <c r="F23" i="4"/>
  <c r="G25" i="3"/>
  <c r="H22" i="3"/>
  <c r="E19" i="4"/>
  <c r="G19" i="3"/>
  <c r="G20" i="3"/>
  <c r="F3" i="2"/>
  <c r="E3" i="2" s="1"/>
  <c r="Y4" i="2" l="1"/>
  <c r="Y5" i="2" s="1"/>
  <c r="Y6" i="2" s="1"/>
  <c r="Y7" i="2" s="1"/>
  <c r="Y8" i="2" s="1"/>
  <c r="Y9" i="2" s="1"/>
  <c r="Y10" i="2" s="1"/>
  <c r="Y11" i="2" s="1"/>
  <c r="Y12" i="2" s="1"/>
  <c r="Y1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tc={B1C1917E-35C7-42EE-87A1-FCF53CFFB088}</author>
  </authors>
  <commentList>
    <comment ref="G18" authorId="0" shapeId="0" xr:uid="{B1C1917E-35C7-42EE-87A1-FCF53CFFB0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Would need the number in each sub-group, which we do not have.
</t>
      </text>
    </comment>
  </commentList>
</comments>
</file>

<file path=xl/sharedStrings.xml><?xml version="1.0" encoding="utf-8"?>
<sst xmlns="http://schemas.openxmlformats.org/spreadsheetml/2006/main" count="103" uniqueCount="93">
  <si>
    <t>2016/2017</t>
  </si>
  <si>
    <t>2017/2018</t>
  </si>
  <si>
    <t>2018/2019</t>
  </si>
  <si>
    <t>2019/2020</t>
  </si>
  <si>
    <t>2020/2021</t>
  </si>
  <si>
    <t>2015/2016</t>
  </si>
  <si>
    <t xml:space="preserve">2009/2010 </t>
  </si>
  <si>
    <t xml:space="preserve">2010/2011 </t>
  </si>
  <si>
    <t xml:space="preserve">2011/2012 </t>
  </si>
  <si>
    <t>https://kar.kent.ac.uk/92342/25/Unit%20Costs%20Report%202021%20-%20Final%20version%20for%20publication%20%28AMENDED2%29.pdf</t>
  </si>
  <si>
    <t>2012/2013</t>
  </si>
  <si>
    <t xml:space="preserve">2013/2014 </t>
  </si>
  <si>
    <t xml:space="preserve">2014/2015 </t>
  </si>
  <si>
    <t xml:space="preserve">2015/2016 </t>
  </si>
  <si>
    <t>https://www.pssru.ac.uk/pub/uc/uc2016/full.pdf?uc=2016-full</t>
  </si>
  <si>
    <t>2005/2006</t>
  </si>
  <si>
    <t>2006/2007</t>
  </si>
  <si>
    <t>2007/2008</t>
  </si>
  <si>
    <t>2008/2009</t>
  </si>
  <si>
    <t>Pay &amp; prices index</t>
  </si>
  <si>
    <t xml:space="preserve">Year </t>
  </si>
  <si>
    <t xml:space="preserve">HCHS prices </t>
  </si>
  <si>
    <t xml:space="preserve">HCHS pay </t>
  </si>
  <si>
    <t>HCHS Pay &amp; Prices</t>
  </si>
  <si>
    <t>https://kar.kent.ac.uk/105685/1/The%20unit%20costs%20of%20health%20and%20social%20care_Final3.pdf</t>
  </si>
  <si>
    <t>NHSCII prices</t>
  </si>
  <si>
    <t xml:space="preserve">NHSCII pay </t>
  </si>
  <si>
    <t>NHSCII pay and prices</t>
  </si>
  <si>
    <t>Taken the average of the implied weights</t>
  </si>
  <si>
    <t>delta &lt; 0.35%</t>
  </si>
  <si>
    <t>Compunded inflation equivilent using 3 modes</t>
  </si>
  <si>
    <t>2022/2023*</t>
  </si>
  <si>
    <t>2021/2022</t>
  </si>
  <si>
    <t>EDSS health state costs (2015/16 prices)</t>
  </si>
  <si>
    <t>edss</t>
  </si>
  <si>
    <t>c_medical_annual</t>
  </si>
  <si>
    <t>c_nonmedical_annual</t>
  </si>
  <si>
    <t>c_direct_annual</t>
  </si>
  <si>
    <t>ID809 values</t>
  </si>
  <si>
    <t>Not reported</t>
  </si>
  <si>
    <t>-</t>
  </si>
  <si>
    <t>DMD + EDSS 7–9</t>
  </si>
  <si>
    <t>DMD + EDSS 3–6.5</t>
  </si>
  <si>
    <t>DMD + EDSS 0–2</t>
  </si>
  <si>
    <t>Relapse</t>
  </si>
  <si>
    <t>SPMS</t>
  </si>
  <si>
    <t>PPMS</t>
  </si>
  <si>
    <t>RRMS†</t>
  </si>
  <si>
    <t>EDSS 0</t>
  </si>
  <si>
    <t>EDSS 1</t>
  </si>
  <si>
    <t>EDSS 2</t>
  </si>
  <si>
    <t>EDSS 3</t>
  </si>
  <si>
    <t>EDSS 4</t>
  </si>
  <si>
    <t>EDSS 5</t>
  </si>
  <si>
    <t>EDSS 6</t>
  </si>
  <si>
    <t>EDSS 7</t>
  </si>
  <si>
    <t>EDSS 8</t>
  </si>
  <si>
    <t>EDSS 9</t>
  </si>
  <si>
    <t>EDSS 6.5</t>
  </si>
  <si>
    <t>Estimate</t>
  </si>
  <si>
    <t>SE</t>
  </si>
  <si>
    <t>the formula was propably applied incorectly in previous models</t>
  </si>
  <si>
    <t>The is a high degree of uncertainty in thes costs EDSS 0-4 had quite high p-values and confidence intervals cross unity (include negative values) up to EDSS 5</t>
  </si>
  <si>
    <t>2022/2023 prices</t>
  </si>
  <si>
    <t>re-created index using NHSCII pay and prices inflation</t>
  </si>
  <si>
    <t>CAGR</t>
  </si>
  <si>
    <t xml:space="preserve">2006/2007 prices </t>
  </si>
  <si>
    <t>Using weights to recreate HCHS pay and prices inflation for 2005/2006</t>
  </si>
  <si>
    <t>Hawton_mean.median.</t>
  </si>
  <si>
    <t>Hawton_sd</t>
  </si>
  <si>
    <t>Karampampa_mean.median.</t>
  </si>
  <si>
    <t>Tyasetalmean</t>
  </si>
  <si>
    <t>Sample size</t>
  </si>
  <si>
    <t>Cost year</t>
  </si>
  <si>
    <t>no_relapse</t>
  </si>
  <si>
    <t>Any relapse</t>
  </si>
  <si>
    <t>Relapse_untreated</t>
  </si>
  <si>
    <t>Relapse_limit_daily_activ</t>
  </si>
  <si>
    <t>Relapse _oral_steroids</t>
  </si>
  <si>
    <t>Relapse_intravenous_steroids</t>
  </si>
  <si>
    <t>Relapse_hospital_addmision</t>
  </si>
  <si>
    <t xml:space="preserve">2015/2016 prices </t>
  </si>
  <si>
    <t>SE?</t>
  </si>
  <si>
    <t>Tyas et al direct medical costs</t>
  </si>
  <si>
    <t>rrms</t>
  </si>
  <si>
    <t>spms</t>
  </si>
  <si>
    <t>rrms_mean</t>
  </si>
  <si>
    <t>rrms_se</t>
  </si>
  <si>
    <t>spms_mean</t>
  </si>
  <si>
    <t>spms_se</t>
  </si>
  <si>
    <t>Relapse_oral_steroids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</si>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</sst>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£&quot;#,##0;[Red]\-&quot;£&quot;#,##0"/>
    <numFmt numFmtId="164" formatCode="0.0"/>
    <numFmt numFmtId="165" formatCode="0.0%"/>
    <numFmt numFmtId="166" formatCode="0.000%"/>
    <numFmt numFmtId="167" formatCode="&quot;£&quot;#,##0"/>
    <numFmt numFmtId="168" formatCode="&quot;£&quot;#,##0.00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8"/>
      <color theme="0" tint="-4.9989318521683403E-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165" fontId="0" fillId="0" borderId="0" xfId="0" applyNumberFormat="1"/>
    <xf numFmtId="2" fontId="4" fillId="0" borderId="0" xfId="0" applyNumberFormat="1" applyFont="1"/>
    <xf numFmtId="10" fontId="4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6" fontId="0" fillId="0" borderId="0" xfId="0" applyNumberFormat="1"/>
    <xf numFmtId="0" fontId="6" fillId="0" borderId="0" xfId="0" applyFont="1"/>
    <xf numFmtId="0" fontId="6" fillId="0" borderId="0" xfId="0" applyFont="1" applyAlignment="1">
      <alignment vertical="center" wrapText="1"/>
    </xf>
    <xf numFmtId="0" fontId="4" fillId="2" borderId="0" xfId="0" applyFont="1" applyFill="1"/>
    <xf numFmtId="0" fontId="0" fillId="0" borderId="0" xfId="0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7" fillId="0" borderId="2" xfId="0" applyFont="1" applyBorder="1"/>
    <xf numFmtId="0" fontId="0" fillId="0" borderId="2" xfId="0" applyBorder="1"/>
    <xf numFmtId="167" fontId="7" fillId="0" borderId="2" xfId="0" applyNumberFormat="1" applyFont="1" applyBorder="1"/>
    <xf numFmtId="0" fontId="5" fillId="0" borderId="0" xfId="0" applyFont="1"/>
    <xf numFmtId="0" fontId="5" fillId="0" borderId="0" xfId="0" applyFont="1" applyAlignment="1">
      <alignment vertical="center" wrapText="1"/>
    </xf>
    <xf numFmtId="0" fontId="0" fillId="0" borderId="2" xfId="0" applyBorder="1" applyAlignment="1">
      <alignment horizontal="center"/>
    </xf>
    <xf numFmtId="168" fontId="0" fillId="0" borderId="2" xfId="0" applyNumberFormat="1" applyBorder="1"/>
    <xf numFmtId="0" fontId="7" fillId="4" borderId="2" xfId="0" applyFont="1" applyFill="1" applyBorder="1"/>
    <xf numFmtId="167" fontId="7" fillId="4" borderId="2" xfId="0" applyNumberFormat="1" applyFont="1" applyFill="1" applyBorder="1"/>
    <xf numFmtId="0" fontId="4" fillId="2" borderId="1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E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yman Sadek" id="{CA5F72D7-4B74-49FE-B572-306B5D9D4E97}" userId="S::po22525@bristol.ac.uk::752c5ff3-fa6e-41ca-8b19-8aac695725d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8" dT="2024-10-10T11:44:07.58" personId="{CA5F72D7-4B74-49FE-B572-306B5D9D4E97}" id="{B1C1917E-35C7-42EE-87A1-FCF53CFFB088}">
    <text xml:space="preserve">Would need the number in each sub-group, which we do not have.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171E-8197-4375-BAD1-7D62EB9CC4B7}">
  <dimension ref="A1:AD26"/>
  <sheetViews>
    <sheetView zoomScale="120" zoomScaleNormal="120" workbookViewId="0">
      <selection activeCell="A17" sqref="A17:B17"/>
    </sheetView>
  </sheetViews>
  <sheetFormatPr defaultRowHeight="14.4" x14ac:dyDescent="0.3"/>
  <cols>
    <col min="1" max="1" width="15.33203125" customWidth="1"/>
    <col min="2" max="2" width="11.109375" customWidth="1"/>
    <col min="3" max="3" width="9.88671875" customWidth="1"/>
    <col min="4" max="4" width="9.6640625" bestFit="1" customWidth="1"/>
    <col min="5" max="5" width="8.88671875" customWidth="1"/>
    <col min="6" max="6" width="5.5546875" customWidth="1"/>
    <col min="7" max="7" width="5.6640625" customWidth="1"/>
    <col min="8" max="8" width="9.33203125" customWidth="1"/>
    <col min="9" max="9" width="12" customWidth="1"/>
    <col min="10" max="10" width="15.33203125" customWidth="1"/>
    <col min="11" max="11" width="9.109375" customWidth="1"/>
    <col min="12" max="23" width="8.88671875" customWidth="1"/>
  </cols>
  <sheetData>
    <row r="1" spans="1:30" x14ac:dyDescent="0.3">
      <c r="X1" s="33"/>
      <c r="Y1" s="33" t="s">
        <v>30</v>
      </c>
      <c r="Z1" s="33"/>
      <c r="AA1" s="33"/>
      <c r="AB1" s="33"/>
      <c r="AC1" s="33"/>
      <c r="AD1" s="9"/>
    </row>
    <row r="2" spans="1:30" s="7" customFormat="1" ht="42" customHeight="1" x14ac:dyDescent="0.3">
      <c r="A2" s="6" t="s">
        <v>20</v>
      </c>
      <c r="B2" s="6" t="s">
        <v>19</v>
      </c>
      <c r="C2" s="6" t="s">
        <v>21</v>
      </c>
      <c r="D2" s="6" t="s">
        <v>22</v>
      </c>
      <c r="E2" s="6" t="s">
        <v>23</v>
      </c>
      <c r="F2" s="44" t="s">
        <v>67</v>
      </c>
      <c r="G2" s="44"/>
      <c r="H2" s="44"/>
      <c r="I2" s="44"/>
      <c r="J2" s="4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34"/>
      <c r="Y2" s="34">
        <v>1</v>
      </c>
      <c r="Z2" s="42">
        <v>2</v>
      </c>
      <c r="AA2" s="42"/>
      <c r="AB2" s="42">
        <v>3</v>
      </c>
      <c r="AC2" s="42"/>
      <c r="AD2" s="10"/>
    </row>
    <row r="3" spans="1:30" ht="21" customHeight="1" x14ac:dyDescent="0.3">
      <c r="A3" s="12" t="s">
        <v>15</v>
      </c>
      <c r="B3" s="18">
        <v>240.9</v>
      </c>
      <c r="C3" s="19">
        <v>1.9E-2</v>
      </c>
      <c r="D3" s="19">
        <v>4.7E-2</v>
      </c>
      <c r="E3" s="20">
        <f>SUM(C3*F3,D3*G3)</f>
        <v>3.6418800000000001E-2</v>
      </c>
      <c r="F3" s="21">
        <f t="shared" ref="F3:F6" si="0">1-G3</f>
        <v>0.37790000000000001</v>
      </c>
      <c r="G3" s="21">
        <f>AVERAGE(G4:G13)</f>
        <v>0.62209999999999999</v>
      </c>
      <c r="H3" s="43" t="s">
        <v>28</v>
      </c>
      <c r="I3" s="43"/>
      <c r="J3" s="4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33">
        <v>1000</v>
      </c>
      <c r="Y3" s="33">
        <f>X3</f>
        <v>1000</v>
      </c>
      <c r="Z3" s="33">
        <f t="shared" ref="Z3:Z13" si="1">(B3-$B$3)/$B$3</f>
        <v>0</v>
      </c>
      <c r="AA3" s="33">
        <f t="shared" ref="AA3:AA13" si="2">$X$3+($X$3*Z3)</f>
        <v>1000</v>
      </c>
      <c r="AB3" s="33">
        <f t="shared" ref="AB3:AB13" si="3">B3/$B$3</f>
        <v>1</v>
      </c>
      <c r="AC3" s="33">
        <f t="shared" ref="AC3:AC13" si="4">$X$3*AB3</f>
        <v>1000</v>
      </c>
      <c r="AD3" s="9"/>
    </row>
    <row r="4" spans="1:30" x14ac:dyDescent="0.3">
      <c r="A4" s="12" t="s">
        <v>16</v>
      </c>
      <c r="B4" s="18">
        <v>249.8</v>
      </c>
      <c r="C4" s="19">
        <v>0.03</v>
      </c>
      <c r="D4" s="19">
        <v>4.0999999999999995E-2</v>
      </c>
      <c r="E4" s="19">
        <f>(B4-B3)/B3</f>
        <v>3.6944790369447929E-2</v>
      </c>
      <c r="F4" s="22">
        <f t="shared" si="0"/>
        <v>0.37</v>
      </c>
      <c r="G4" s="22">
        <v>0.63</v>
      </c>
      <c r="H4" s="23">
        <f t="shared" ref="H4:H6" si="5">SUM(C4*F4,D4*G4)</f>
        <v>3.6929999999999991E-2</v>
      </c>
      <c r="I4" s="24">
        <f t="shared" ref="I4:I6" si="6">(E4-H4)/E4</f>
        <v>4.0033707865261791E-4</v>
      </c>
      <c r="J4" s="40" t="s">
        <v>29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33"/>
      <c r="Y4" s="33">
        <f t="shared" ref="Y4:Y13" si="7">Y3+(Y3*E4)</f>
        <v>1036.9447903694479</v>
      </c>
      <c r="Z4" s="33">
        <f t="shared" si="1"/>
        <v>3.6944790369447929E-2</v>
      </c>
      <c r="AA4" s="33">
        <f t="shared" si="2"/>
        <v>1036.9447903694479</v>
      </c>
      <c r="AB4" s="33">
        <f t="shared" si="3"/>
        <v>1.036944790369448</v>
      </c>
      <c r="AC4" s="33">
        <f t="shared" si="4"/>
        <v>1036.9447903694479</v>
      </c>
      <c r="AD4" s="9"/>
    </row>
    <row r="5" spans="1:30" x14ac:dyDescent="0.3">
      <c r="A5" s="12" t="s">
        <v>17</v>
      </c>
      <c r="B5" s="18">
        <v>257</v>
      </c>
      <c r="C5" s="19">
        <v>1.8000000000000002E-2</v>
      </c>
      <c r="D5" s="19">
        <v>3.5000000000000003E-2</v>
      </c>
      <c r="E5" s="19">
        <f t="shared" ref="E5:E13" si="8">(B5-B4)/B4</f>
        <v>2.8823058446757359E-2</v>
      </c>
      <c r="F5" s="22">
        <f t="shared" si="0"/>
        <v>0.36499999999999999</v>
      </c>
      <c r="G5" s="22">
        <v>0.63500000000000001</v>
      </c>
      <c r="H5" s="23">
        <f t="shared" si="5"/>
        <v>2.8795000000000001E-2</v>
      </c>
      <c r="I5" s="24">
        <f t="shared" si="6"/>
        <v>9.7347222222055226E-4</v>
      </c>
      <c r="J5" s="40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33"/>
      <c r="Y5" s="33">
        <f t="shared" si="7"/>
        <v>1066.8327106683271</v>
      </c>
      <c r="Z5" s="33">
        <f t="shared" si="1"/>
        <v>6.6832710668327078E-2</v>
      </c>
      <c r="AA5" s="33">
        <f t="shared" si="2"/>
        <v>1066.8327106683271</v>
      </c>
      <c r="AB5" s="33">
        <f t="shared" si="3"/>
        <v>1.0668327106683271</v>
      </c>
      <c r="AC5" s="33">
        <f t="shared" si="4"/>
        <v>1066.8327106683271</v>
      </c>
      <c r="AD5" s="9"/>
    </row>
    <row r="6" spans="1:30" x14ac:dyDescent="0.3">
      <c r="A6" s="12" t="s">
        <v>18</v>
      </c>
      <c r="B6" s="18">
        <v>267</v>
      </c>
      <c r="C6" s="19">
        <v>5.2000000000000005E-2</v>
      </c>
      <c r="D6" s="19">
        <v>0.03</v>
      </c>
      <c r="E6" s="19">
        <f t="shared" si="8"/>
        <v>3.8910505836575876E-2</v>
      </c>
      <c r="F6" s="22">
        <f t="shared" si="0"/>
        <v>0.4</v>
      </c>
      <c r="G6" s="22">
        <v>0.6</v>
      </c>
      <c r="H6" s="23">
        <f t="shared" si="5"/>
        <v>3.8800000000000001E-2</v>
      </c>
      <c r="I6" s="24">
        <f t="shared" si="6"/>
        <v>2.839999999999984E-3</v>
      </c>
      <c r="J6" s="40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33"/>
      <c r="Y6" s="33">
        <f t="shared" si="7"/>
        <v>1108.343711083437</v>
      </c>
      <c r="Z6" s="33">
        <f t="shared" si="1"/>
        <v>0.10834371108343709</v>
      </c>
      <c r="AA6" s="33">
        <f t="shared" si="2"/>
        <v>1108.343711083437</v>
      </c>
      <c r="AB6" s="33">
        <f t="shared" si="3"/>
        <v>1.1083437110834371</v>
      </c>
      <c r="AC6" s="33">
        <f t="shared" si="4"/>
        <v>1108.343711083437</v>
      </c>
      <c r="AD6" s="9"/>
    </row>
    <row r="7" spans="1:30" ht="15" customHeight="1" x14ac:dyDescent="0.3">
      <c r="A7" s="12" t="s">
        <v>6</v>
      </c>
      <c r="B7" s="18">
        <v>268.60000000000002</v>
      </c>
      <c r="C7" s="19">
        <v>-1.3000000000000001E-2</v>
      </c>
      <c r="D7" s="19">
        <v>1.8000000000000002E-2</v>
      </c>
      <c r="E7" s="19">
        <f t="shared" si="8"/>
        <v>5.9925093632959654E-3</v>
      </c>
      <c r="F7" s="22">
        <f>1-G7</f>
        <v>0.38800000000000001</v>
      </c>
      <c r="G7" s="22">
        <v>0.61199999999999999</v>
      </c>
      <c r="H7" s="23">
        <f>SUM(C7*F7,D7*G7)</f>
        <v>5.9720000000000007E-3</v>
      </c>
      <c r="I7" s="24">
        <f>(E7-H7)/E7</f>
        <v>3.4225000000140515E-3</v>
      </c>
      <c r="J7" s="40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33"/>
      <c r="Y7" s="33">
        <f t="shared" si="7"/>
        <v>1114.9854711498547</v>
      </c>
      <c r="Z7" s="33">
        <f t="shared" si="1"/>
        <v>0.11498547114985477</v>
      </c>
      <c r="AA7" s="33">
        <f t="shared" si="2"/>
        <v>1114.9854711498547</v>
      </c>
      <c r="AB7" s="33">
        <f t="shared" si="3"/>
        <v>1.1149854711498548</v>
      </c>
      <c r="AC7" s="33">
        <f t="shared" si="4"/>
        <v>1114.9854711498549</v>
      </c>
      <c r="AD7" s="9"/>
    </row>
    <row r="8" spans="1:30" x14ac:dyDescent="0.3">
      <c r="A8" s="12" t="s">
        <v>7</v>
      </c>
      <c r="B8" s="18">
        <v>276.7</v>
      </c>
      <c r="C8" s="19">
        <v>2.7999999999999997E-2</v>
      </c>
      <c r="D8" s="19">
        <v>3.1000000000000003E-2</v>
      </c>
      <c r="E8" s="19">
        <f t="shared" si="8"/>
        <v>3.0156366344005828E-2</v>
      </c>
      <c r="F8" s="22">
        <f t="shared" ref="F8:F13" si="9">1-G8</f>
        <v>0.29000000000000004</v>
      </c>
      <c r="G8" s="22">
        <v>0.71</v>
      </c>
      <c r="H8" s="23">
        <f t="shared" ref="H8:H13" si="10">SUM(C8*F8,D8*G8)</f>
        <v>3.0130000000000004E-2</v>
      </c>
      <c r="I8" s="24">
        <f t="shared" ref="I8:I13" si="11">(E8-H8)/E8</f>
        <v>8.7432098764991123E-4</v>
      </c>
      <c r="J8" s="40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33"/>
      <c r="Y8" s="33">
        <f t="shared" si="7"/>
        <v>1148.6093814860935</v>
      </c>
      <c r="Z8" s="33">
        <f t="shared" si="1"/>
        <v>0.14860938148609373</v>
      </c>
      <c r="AA8" s="33">
        <f t="shared" si="2"/>
        <v>1148.6093814860938</v>
      </c>
      <c r="AB8" s="33">
        <f t="shared" si="3"/>
        <v>1.1486093814860938</v>
      </c>
      <c r="AC8" s="33">
        <f t="shared" si="4"/>
        <v>1148.6093814860938</v>
      </c>
      <c r="AD8" s="9"/>
    </row>
    <row r="9" spans="1:30" x14ac:dyDescent="0.3">
      <c r="A9" s="12" t="s">
        <v>8</v>
      </c>
      <c r="B9" s="18">
        <v>282.5</v>
      </c>
      <c r="C9" s="19">
        <v>4.0999999999999995E-2</v>
      </c>
      <c r="D9" s="19">
        <v>9.0000000000000011E-3</v>
      </c>
      <c r="E9" s="19">
        <f t="shared" si="8"/>
        <v>2.0961329960245797E-2</v>
      </c>
      <c r="F9" s="22">
        <f t="shared" si="9"/>
        <v>0.373</v>
      </c>
      <c r="G9" s="22">
        <v>0.627</v>
      </c>
      <c r="H9" s="23">
        <f t="shared" si="10"/>
        <v>2.0935999999999996E-2</v>
      </c>
      <c r="I9" s="24">
        <f t="shared" si="11"/>
        <v>1.2084137931056896E-3</v>
      </c>
      <c r="J9" s="40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33"/>
      <c r="Y9" s="33">
        <f t="shared" si="7"/>
        <v>1172.6857617268574</v>
      </c>
      <c r="Z9" s="33">
        <f t="shared" si="1"/>
        <v>0.1726857617268576</v>
      </c>
      <c r="AA9" s="33">
        <f t="shared" si="2"/>
        <v>1172.6857617268577</v>
      </c>
      <c r="AB9" s="33">
        <f t="shared" si="3"/>
        <v>1.1726857617268576</v>
      </c>
      <c r="AC9" s="33">
        <f t="shared" si="4"/>
        <v>1172.6857617268577</v>
      </c>
      <c r="AD9" s="9"/>
    </row>
    <row r="10" spans="1:30" x14ac:dyDescent="0.3">
      <c r="A10" s="12" t="s">
        <v>10</v>
      </c>
      <c r="B10" s="18">
        <v>287.3</v>
      </c>
      <c r="C10" s="19">
        <v>3.1000000000000003E-2</v>
      </c>
      <c r="D10" s="19">
        <v>9.0000000000000011E-3</v>
      </c>
      <c r="E10" s="19">
        <f t="shared" si="8"/>
        <v>1.6991150442477915E-2</v>
      </c>
      <c r="F10" s="22">
        <f t="shared" si="9"/>
        <v>0.36299999999999999</v>
      </c>
      <c r="G10" s="22">
        <v>0.63700000000000001</v>
      </c>
      <c r="H10" s="23">
        <f t="shared" si="10"/>
        <v>1.6986000000000001E-2</v>
      </c>
      <c r="I10" s="24">
        <f t="shared" si="11"/>
        <v>3.0312500000224859E-4</v>
      </c>
      <c r="J10" s="40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33"/>
      <c r="Y10" s="33">
        <f t="shared" si="7"/>
        <v>1192.6110419261104</v>
      </c>
      <c r="Z10" s="33">
        <f t="shared" si="1"/>
        <v>0.19261104192611045</v>
      </c>
      <c r="AA10" s="33">
        <f t="shared" si="2"/>
        <v>1192.6110419261104</v>
      </c>
      <c r="AB10" s="33">
        <f t="shared" si="3"/>
        <v>1.1926110419261104</v>
      </c>
      <c r="AC10" s="33">
        <f t="shared" si="4"/>
        <v>1192.6110419261104</v>
      </c>
      <c r="AD10" s="9"/>
    </row>
    <row r="11" spans="1:30" x14ac:dyDescent="0.3">
      <c r="A11" s="12" t="s">
        <v>11</v>
      </c>
      <c r="B11" s="18">
        <v>290.5</v>
      </c>
      <c r="C11" s="19">
        <v>1.8000000000000002E-2</v>
      </c>
      <c r="D11" s="19">
        <v>6.9999999999999993E-3</v>
      </c>
      <c r="E11" s="19">
        <f t="shared" si="8"/>
        <v>1.1138183083884401E-2</v>
      </c>
      <c r="F11" s="22">
        <f t="shared" si="9"/>
        <v>0.376</v>
      </c>
      <c r="G11" s="22">
        <v>0.624</v>
      </c>
      <c r="H11" s="23">
        <f t="shared" si="10"/>
        <v>1.1136E-2</v>
      </c>
      <c r="I11" s="24">
        <f t="shared" si="11"/>
        <v>1.9599999999633431E-4</v>
      </c>
      <c r="J11" s="40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33"/>
      <c r="Y11" s="33">
        <f t="shared" si="7"/>
        <v>1205.8945620589454</v>
      </c>
      <c r="Z11" s="33">
        <f t="shared" si="1"/>
        <v>0.2058945620589456</v>
      </c>
      <c r="AA11" s="33">
        <f t="shared" si="2"/>
        <v>1205.8945620589457</v>
      </c>
      <c r="AB11" s="33">
        <f t="shared" si="3"/>
        <v>1.2058945620589456</v>
      </c>
      <c r="AC11" s="33">
        <f t="shared" si="4"/>
        <v>1205.8945620589457</v>
      </c>
      <c r="AD11" s="9"/>
    </row>
    <row r="12" spans="1:30" x14ac:dyDescent="0.3">
      <c r="A12" s="12" t="s">
        <v>12</v>
      </c>
      <c r="B12" s="18">
        <v>293.10000000000002</v>
      </c>
      <c r="C12" s="19">
        <v>1.7000000000000001E-2</v>
      </c>
      <c r="D12" s="19">
        <v>3.0000000000000001E-3</v>
      </c>
      <c r="E12" s="19">
        <f t="shared" si="8"/>
        <v>8.9500860585198724E-3</v>
      </c>
      <c r="F12" s="22">
        <f t="shared" si="9"/>
        <v>0.42500000000000004</v>
      </c>
      <c r="G12" s="22">
        <v>0.57499999999999996</v>
      </c>
      <c r="H12" s="23">
        <f t="shared" si="10"/>
        <v>8.9500000000000014E-3</v>
      </c>
      <c r="I12" s="24">
        <f t="shared" si="11"/>
        <v>9.6153846240567559E-6</v>
      </c>
      <c r="J12" s="40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33"/>
      <c r="Y12" s="33">
        <f t="shared" si="7"/>
        <v>1216.6874221668741</v>
      </c>
      <c r="Z12" s="33">
        <f t="shared" si="1"/>
        <v>0.21668742216687428</v>
      </c>
      <c r="AA12" s="33">
        <f t="shared" si="2"/>
        <v>1216.6874221668743</v>
      </c>
      <c r="AB12" s="33">
        <f t="shared" si="3"/>
        <v>1.2166874221668742</v>
      </c>
      <c r="AC12" s="33">
        <f t="shared" si="4"/>
        <v>1216.6874221668743</v>
      </c>
      <c r="AD12" s="9"/>
    </row>
    <row r="13" spans="1:30" x14ac:dyDescent="0.3">
      <c r="A13" s="15" t="s">
        <v>13</v>
      </c>
      <c r="B13" s="25">
        <v>297</v>
      </c>
      <c r="C13" s="26">
        <v>2.7000000000000003E-2</v>
      </c>
      <c r="D13" s="26">
        <v>3.0000000000000001E-3</v>
      </c>
      <c r="E13" s="26">
        <f t="shared" si="8"/>
        <v>1.3306038894575151E-2</v>
      </c>
      <c r="F13" s="27">
        <f t="shared" si="9"/>
        <v>0.42900000000000005</v>
      </c>
      <c r="G13" s="27">
        <v>0.57099999999999995</v>
      </c>
      <c r="H13" s="28">
        <f t="shared" si="10"/>
        <v>1.3296000000000002E-2</v>
      </c>
      <c r="I13" s="29">
        <f t="shared" si="11"/>
        <v>7.5446153845541372E-4</v>
      </c>
      <c r="J13" s="4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33"/>
      <c r="Y13" s="33">
        <f t="shared" si="7"/>
        <v>1232.8767123287669</v>
      </c>
      <c r="Z13" s="33">
        <f t="shared" si="1"/>
        <v>0.23287671232876708</v>
      </c>
      <c r="AA13" s="33">
        <f t="shared" si="2"/>
        <v>1232.8767123287671</v>
      </c>
      <c r="AB13" s="33">
        <f t="shared" si="3"/>
        <v>1.2328767123287672</v>
      </c>
      <c r="AC13" s="33">
        <f t="shared" si="4"/>
        <v>1232.8767123287671</v>
      </c>
      <c r="AD13" s="9"/>
    </row>
    <row r="14" spans="1:30" x14ac:dyDescent="0.3">
      <c r="C14" s="1"/>
      <c r="D14" s="1"/>
      <c r="E14" s="1"/>
      <c r="F14" s="2"/>
      <c r="G14" s="3"/>
      <c r="H14" s="3"/>
    </row>
    <row r="15" spans="1:30" x14ac:dyDescent="0.3">
      <c r="A15" t="s">
        <v>14</v>
      </c>
      <c r="H15" s="1"/>
    </row>
    <row r="16" spans="1:30" x14ac:dyDescent="0.3">
      <c r="A16" t="s">
        <v>9</v>
      </c>
    </row>
    <row r="17" spans="1:5" ht="50.25" customHeight="1" x14ac:dyDescent="0.3">
      <c r="A17" s="39" t="s">
        <v>64</v>
      </c>
      <c r="B17" s="39"/>
      <c r="C17" s="6" t="s">
        <v>25</v>
      </c>
      <c r="D17" s="6" t="s">
        <v>26</v>
      </c>
      <c r="E17" s="6" t="s">
        <v>27</v>
      </c>
    </row>
    <row r="18" spans="1:5" x14ac:dyDescent="0.3">
      <c r="A18" s="12" t="s">
        <v>5</v>
      </c>
      <c r="B18" s="13">
        <f>B12+(B12*E18)</f>
        <v>294.24309</v>
      </c>
      <c r="C18" s="14">
        <v>5.5999999999999999E-3</v>
      </c>
      <c r="D18" s="14">
        <v>3.0000000000000001E-3</v>
      </c>
      <c r="E18" s="14">
        <v>3.8999999999999998E-3</v>
      </c>
    </row>
    <row r="19" spans="1:5" x14ac:dyDescent="0.3">
      <c r="A19" s="12" t="s">
        <v>0</v>
      </c>
      <c r="B19" s="13">
        <f>B18+(B18*E19)</f>
        <v>300.39277058099998</v>
      </c>
      <c r="C19" s="14">
        <v>2.06E-2</v>
      </c>
      <c r="D19" s="14">
        <v>2.1000000000000001E-2</v>
      </c>
      <c r="E19" s="14">
        <v>2.0899999999999998E-2</v>
      </c>
    </row>
    <row r="20" spans="1:5" x14ac:dyDescent="0.3">
      <c r="A20" s="12" t="s">
        <v>1</v>
      </c>
      <c r="B20" s="13">
        <f t="shared" ref="B20:B25" si="12">B19+(B19*E20)</f>
        <v>304.1176409362044</v>
      </c>
      <c r="C20" s="14">
        <v>1.2999999999999999E-2</v>
      </c>
      <c r="D20" s="14">
        <v>1.21E-2</v>
      </c>
      <c r="E20" s="14">
        <v>1.24E-2</v>
      </c>
    </row>
    <row r="21" spans="1:5" x14ac:dyDescent="0.3">
      <c r="A21" s="12" t="s">
        <v>2</v>
      </c>
      <c r="B21" s="13">
        <f t="shared" si="12"/>
        <v>308.98352319118368</v>
      </c>
      <c r="C21" s="14">
        <v>1.5900000000000001E-2</v>
      </c>
      <c r="D21" s="14">
        <v>1.6E-2</v>
      </c>
      <c r="E21" s="14">
        <v>1.6E-2</v>
      </c>
    </row>
    <row r="22" spans="1:5" x14ac:dyDescent="0.3">
      <c r="A22" s="12" t="s">
        <v>3</v>
      </c>
      <c r="B22" s="13">
        <f t="shared" si="12"/>
        <v>315.59577058747499</v>
      </c>
      <c r="C22" s="14">
        <v>1.2999999999999999E-2</v>
      </c>
      <c r="D22" s="14">
        <v>2.58E-2</v>
      </c>
      <c r="E22" s="14">
        <v>2.1399999999999999E-2</v>
      </c>
    </row>
    <row r="23" spans="1:5" x14ac:dyDescent="0.3">
      <c r="A23" s="12" t="s">
        <v>4</v>
      </c>
      <c r="B23" s="13">
        <f t="shared" si="12"/>
        <v>323.45410527510313</v>
      </c>
      <c r="C23" s="14">
        <v>8.3999999999999995E-3</v>
      </c>
      <c r="D23" s="14">
        <v>3.4099999999999998E-2</v>
      </c>
      <c r="E23" s="14">
        <v>2.4899999999999999E-2</v>
      </c>
    </row>
    <row r="24" spans="1:5" x14ac:dyDescent="0.3">
      <c r="A24" s="12" t="s">
        <v>32</v>
      </c>
      <c r="B24" s="13">
        <f t="shared" si="12"/>
        <v>331.76687578067327</v>
      </c>
      <c r="C24" s="14">
        <v>1.7000000000000001E-2</v>
      </c>
      <c r="D24" s="14">
        <v>3.0700000000000002E-2</v>
      </c>
      <c r="E24" s="14">
        <v>2.5700000000000001E-2</v>
      </c>
    </row>
    <row r="25" spans="1:5" x14ac:dyDescent="0.3">
      <c r="A25" s="15" t="s">
        <v>31</v>
      </c>
      <c r="B25" s="16">
        <f t="shared" si="12"/>
        <v>355.09008714805464</v>
      </c>
      <c r="C25" s="17">
        <v>6.3399999999999998E-2</v>
      </c>
      <c r="D25" s="17">
        <v>7.4099999999999999E-2</v>
      </c>
      <c r="E25" s="17">
        <v>7.0300000000000001E-2</v>
      </c>
    </row>
    <row r="26" spans="1:5" x14ac:dyDescent="0.3">
      <c r="A26" t="s">
        <v>24</v>
      </c>
    </row>
  </sheetData>
  <mergeCells count="6">
    <mergeCell ref="A17:B17"/>
    <mergeCell ref="J4:J13"/>
    <mergeCell ref="Z2:AA2"/>
    <mergeCell ref="AB2:AC2"/>
    <mergeCell ref="H3:J3"/>
    <mergeCell ref="F2:J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7F14-45C8-48DB-A727-1C18D7071B86}">
  <dimension ref="B3:M39"/>
  <sheetViews>
    <sheetView topLeftCell="A13" workbookViewId="0">
      <selection activeCell="G18" sqref="G18:H18"/>
    </sheetView>
  </sheetViews>
  <sheetFormatPr defaultRowHeight="14.4" x14ac:dyDescent="0.3"/>
  <cols>
    <col min="2" max="2" width="17.6640625" customWidth="1"/>
    <col min="3" max="3" width="12.6640625" customWidth="1"/>
    <col min="4" max="4" width="13.33203125" customWidth="1"/>
    <col min="5" max="5" width="11.5546875" bestFit="1" customWidth="1"/>
    <col min="6" max="6" width="10.5546875" bestFit="1" customWidth="1"/>
    <col min="7" max="7" width="11.21875" customWidth="1"/>
    <col min="8" max="8" width="11.109375" customWidth="1"/>
  </cols>
  <sheetData>
    <row r="3" spans="2:13" x14ac:dyDescent="0.3">
      <c r="B3" t="s">
        <v>33</v>
      </c>
    </row>
    <row r="4" spans="2:13" x14ac:dyDescent="0.3">
      <c r="B4" t="s">
        <v>34</v>
      </c>
      <c r="C4" t="s">
        <v>35</v>
      </c>
      <c r="D4" t="s">
        <v>36</v>
      </c>
      <c r="E4" t="s">
        <v>37</v>
      </c>
      <c r="F4" t="s">
        <v>38</v>
      </c>
    </row>
    <row r="5" spans="2:13" x14ac:dyDescent="0.3">
      <c r="B5">
        <v>0</v>
      </c>
      <c r="C5">
        <v>1020</v>
      </c>
      <c r="D5">
        <v>1675</v>
      </c>
      <c r="E5" s="8">
        <v>2695</v>
      </c>
      <c r="F5" s="8">
        <v>949</v>
      </c>
    </row>
    <row r="6" spans="2:13" x14ac:dyDescent="0.3">
      <c r="B6">
        <v>1</v>
      </c>
      <c r="C6">
        <v>910</v>
      </c>
      <c r="D6">
        <v>1675</v>
      </c>
      <c r="E6" s="8">
        <v>2585</v>
      </c>
      <c r="F6" s="8">
        <v>987</v>
      </c>
    </row>
    <row r="7" spans="2:13" x14ac:dyDescent="0.3">
      <c r="B7">
        <v>2</v>
      </c>
      <c r="C7">
        <v>716</v>
      </c>
      <c r="D7">
        <v>1675</v>
      </c>
      <c r="E7" s="8">
        <v>2391</v>
      </c>
      <c r="F7" s="8">
        <v>724</v>
      </c>
    </row>
    <row r="8" spans="2:13" x14ac:dyDescent="0.3">
      <c r="B8">
        <v>3</v>
      </c>
      <c r="C8">
        <v>668</v>
      </c>
      <c r="D8">
        <v>1675</v>
      </c>
      <c r="E8" s="8">
        <v>2343</v>
      </c>
      <c r="F8" s="8">
        <v>3958</v>
      </c>
    </row>
    <row r="9" spans="2:13" x14ac:dyDescent="0.3">
      <c r="B9">
        <v>4</v>
      </c>
      <c r="C9">
        <v>1002</v>
      </c>
      <c r="D9">
        <v>8569</v>
      </c>
      <c r="E9" s="8">
        <v>9571</v>
      </c>
      <c r="F9" s="8">
        <v>1917</v>
      </c>
    </row>
    <row r="10" spans="2:13" x14ac:dyDescent="0.3">
      <c r="B10">
        <v>5</v>
      </c>
      <c r="C10">
        <v>1006</v>
      </c>
      <c r="D10">
        <v>8569</v>
      </c>
      <c r="E10" s="8">
        <v>9575</v>
      </c>
      <c r="F10" s="8">
        <v>3253</v>
      </c>
    </row>
    <row r="11" spans="2:13" x14ac:dyDescent="0.3">
      <c r="B11">
        <v>6</v>
      </c>
      <c r="C11">
        <v>1304</v>
      </c>
      <c r="D11">
        <v>8569</v>
      </c>
      <c r="E11" s="8">
        <v>9873</v>
      </c>
      <c r="F11" s="8">
        <v>4342</v>
      </c>
    </row>
    <row r="12" spans="2:13" x14ac:dyDescent="0.3">
      <c r="B12">
        <v>7</v>
      </c>
      <c r="C12">
        <v>1316</v>
      </c>
      <c r="D12">
        <v>35592</v>
      </c>
      <c r="E12" s="8">
        <v>36908</v>
      </c>
      <c r="F12" s="8">
        <v>11429</v>
      </c>
    </row>
    <row r="13" spans="2:13" x14ac:dyDescent="0.3">
      <c r="B13">
        <v>8</v>
      </c>
      <c r="C13">
        <v>3320</v>
      </c>
      <c r="D13">
        <v>35592</v>
      </c>
      <c r="E13" s="8">
        <v>38912</v>
      </c>
      <c r="F13" s="8">
        <v>27838</v>
      </c>
    </row>
    <row r="14" spans="2:13" x14ac:dyDescent="0.3">
      <c r="B14">
        <v>9</v>
      </c>
      <c r="C14" t="s">
        <v>39</v>
      </c>
      <c r="D14">
        <v>35592</v>
      </c>
      <c r="E14" t="s">
        <v>40</v>
      </c>
      <c r="F14" s="8">
        <v>22274</v>
      </c>
    </row>
    <row r="15" spans="2:13" x14ac:dyDescent="0.3">
      <c r="B15" t="s">
        <v>83</v>
      </c>
      <c r="F15" s="8"/>
      <c r="M15" t="s">
        <v>65</v>
      </c>
    </row>
    <row r="16" spans="2:13" x14ac:dyDescent="0.3">
      <c r="B16" s="31"/>
      <c r="C16" s="45" t="s">
        <v>66</v>
      </c>
      <c r="D16" s="45"/>
      <c r="E16" s="48" t="s">
        <v>63</v>
      </c>
      <c r="F16" s="49"/>
      <c r="G16" s="49"/>
      <c r="H16" s="49"/>
      <c r="K16">
        <f>'Inflation index'!B4</f>
        <v>249.8</v>
      </c>
      <c r="L16">
        <f>'Inflation index'!B25</f>
        <v>355.09008714805464</v>
      </c>
      <c r="M16" s="11">
        <f>(L16-K16)/K16</f>
        <v>0.4214975466295221</v>
      </c>
    </row>
    <row r="17" spans="2:13" x14ac:dyDescent="0.3">
      <c r="B17" s="31"/>
      <c r="C17" s="35"/>
      <c r="D17" s="35"/>
      <c r="E17" s="46" t="s">
        <v>84</v>
      </c>
      <c r="F17" s="47"/>
      <c r="G17" s="46" t="s">
        <v>85</v>
      </c>
      <c r="H17" s="47"/>
      <c r="M17" s="11"/>
    </row>
    <row r="18" spans="2:13" x14ac:dyDescent="0.3">
      <c r="B18" s="30"/>
      <c r="C18" s="30" t="s">
        <v>59</v>
      </c>
      <c r="D18" s="30" t="s">
        <v>60</v>
      </c>
      <c r="E18" s="37" t="s">
        <v>86</v>
      </c>
      <c r="F18" s="37" t="s">
        <v>87</v>
      </c>
      <c r="G18" s="37" t="s">
        <v>88</v>
      </c>
      <c r="H18" s="37" t="s">
        <v>89</v>
      </c>
    </row>
    <row r="19" spans="2:13" x14ac:dyDescent="0.3">
      <c r="B19" s="30" t="s">
        <v>48</v>
      </c>
      <c r="C19" s="32">
        <v>250</v>
      </c>
      <c r="D19" s="32">
        <v>1975</v>
      </c>
      <c r="E19" s="38">
        <f t="shared" ref="E19:E29" si="0">C19+(C19*$M$16)</f>
        <v>355.37438665738051</v>
      </c>
      <c r="F19" s="38">
        <f t="shared" ref="F19:F29" si="1">D19+(D19*$M$16)</f>
        <v>2807.457654593306</v>
      </c>
      <c r="G19" s="38">
        <f>E19+$E$31</f>
        <v>753.3936997136467</v>
      </c>
      <c r="H19" s="38">
        <f>F19+$F$31</f>
        <v>3809.613424967119</v>
      </c>
    </row>
    <row r="20" spans="2:13" x14ac:dyDescent="0.3">
      <c r="B20" s="30" t="s">
        <v>49</v>
      </c>
      <c r="C20" s="32">
        <v>85</v>
      </c>
      <c r="D20" s="32">
        <v>899</v>
      </c>
      <c r="E20" s="38">
        <f t="shared" si="0"/>
        <v>120.82729146350937</v>
      </c>
      <c r="F20" s="38">
        <f t="shared" si="1"/>
        <v>1277.9262944199404</v>
      </c>
      <c r="G20" s="38">
        <f t="shared" ref="G20:G29" si="2">E20+$E$31</f>
        <v>518.84660451977561</v>
      </c>
      <c r="H20" s="38">
        <f t="shared" ref="H20:H28" si="3">F20+$F$31</f>
        <v>2280.0820647937535</v>
      </c>
    </row>
    <row r="21" spans="2:13" x14ac:dyDescent="0.3">
      <c r="B21" s="30" t="s">
        <v>50</v>
      </c>
      <c r="C21" s="32">
        <v>213</v>
      </c>
      <c r="D21" s="32">
        <v>868</v>
      </c>
      <c r="E21" s="38">
        <f t="shared" si="0"/>
        <v>302.7789774320882</v>
      </c>
      <c r="F21" s="38">
        <f t="shared" si="1"/>
        <v>1233.8598704744252</v>
      </c>
      <c r="G21" s="38">
        <f t="shared" si="2"/>
        <v>700.79829048835438</v>
      </c>
      <c r="H21" s="38">
        <f t="shared" si="3"/>
        <v>2236.015640848238</v>
      </c>
    </row>
    <row r="22" spans="2:13" x14ac:dyDescent="0.3">
      <c r="B22" s="30" t="s">
        <v>51</v>
      </c>
      <c r="C22" s="32">
        <v>850</v>
      </c>
      <c r="D22" s="32">
        <v>1237</v>
      </c>
      <c r="E22" s="38">
        <f t="shared" si="0"/>
        <v>1208.2729146350939</v>
      </c>
      <c r="F22" s="38">
        <f t="shared" si="1"/>
        <v>1758.3924651807188</v>
      </c>
      <c r="G22" s="38">
        <f t="shared" si="2"/>
        <v>1606.29222769136</v>
      </c>
      <c r="H22" s="38">
        <f t="shared" si="3"/>
        <v>2760.5482355545319</v>
      </c>
    </row>
    <row r="23" spans="2:13" x14ac:dyDescent="0.3">
      <c r="B23" s="30" t="s">
        <v>52</v>
      </c>
      <c r="C23" s="32">
        <v>806</v>
      </c>
      <c r="D23" s="32">
        <v>884</v>
      </c>
      <c r="E23" s="38">
        <f t="shared" si="0"/>
        <v>1145.727022583395</v>
      </c>
      <c r="F23" s="38">
        <f t="shared" si="1"/>
        <v>1256.6038312204976</v>
      </c>
      <c r="G23" s="38">
        <f t="shared" si="2"/>
        <v>1543.7463356396611</v>
      </c>
      <c r="H23" s="38">
        <f t="shared" si="3"/>
        <v>2258.7596015943109</v>
      </c>
    </row>
    <row r="24" spans="2:13" x14ac:dyDescent="0.3">
      <c r="B24" s="30" t="s">
        <v>53</v>
      </c>
      <c r="C24" s="32">
        <v>1419</v>
      </c>
      <c r="D24" s="32">
        <v>823</v>
      </c>
      <c r="E24" s="38">
        <f t="shared" si="0"/>
        <v>2017.1050186672919</v>
      </c>
      <c r="F24" s="38">
        <f t="shared" si="1"/>
        <v>1169.8924808760967</v>
      </c>
      <c r="G24" s="38">
        <f t="shared" si="2"/>
        <v>2415.124331723558</v>
      </c>
      <c r="H24" s="38">
        <f t="shared" si="3"/>
        <v>2172.0482512499098</v>
      </c>
    </row>
    <row r="25" spans="2:13" x14ac:dyDescent="0.3">
      <c r="B25" s="30" t="s">
        <v>54</v>
      </c>
      <c r="C25" s="32">
        <v>2162</v>
      </c>
      <c r="D25" s="32">
        <v>851</v>
      </c>
      <c r="E25" s="38">
        <f t="shared" si="0"/>
        <v>3073.2776958130266</v>
      </c>
      <c r="F25" s="38">
        <f t="shared" si="1"/>
        <v>1209.6944121817232</v>
      </c>
      <c r="G25" s="38">
        <f t="shared" si="2"/>
        <v>3471.2970088692928</v>
      </c>
      <c r="H25" s="38">
        <f t="shared" si="3"/>
        <v>2211.8501825555363</v>
      </c>
    </row>
    <row r="26" spans="2:13" x14ac:dyDescent="0.3">
      <c r="B26" s="30" t="s">
        <v>58</v>
      </c>
      <c r="C26" s="32">
        <v>3429</v>
      </c>
      <c r="D26" s="32">
        <v>909</v>
      </c>
      <c r="E26" s="38">
        <f t="shared" si="0"/>
        <v>4874.3150873926315</v>
      </c>
      <c r="F26" s="38">
        <f t="shared" si="1"/>
        <v>1292.1412698862355</v>
      </c>
      <c r="G26" s="38">
        <f t="shared" si="2"/>
        <v>5272.3344004488981</v>
      </c>
      <c r="H26" s="38">
        <f t="shared" si="3"/>
        <v>2294.2970402600486</v>
      </c>
    </row>
    <row r="27" spans="2:13" x14ac:dyDescent="0.3">
      <c r="B27" s="30" t="s">
        <v>55</v>
      </c>
      <c r="C27" s="32">
        <v>6583</v>
      </c>
      <c r="D27" s="32">
        <v>995</v>
      </c>
      <c r="E27" s="38">
        <f t="shared" si="0"/>
        <v>9357.718349462144</v>
      </c>
      <c r="F27" s="38">
        <f t="shared" si="1"/>
        <v>1414.3900588963745</v>
      </c>
      <c r="G27" s="38">
        <f t="shared" si="2"/>
        <v>9755.7376625184097</v>
      </c>
      <c r="H27" s="38">
        <f t="shared" si="3"/>
        <v>2416.5458292701878</v>
      </c>
    </row>
    <row r="28" spans="2:13" x14ac:dyDescent="0.3">
      <c r="B28" s="30" t="s">
        <v>56</v>
      </c>
      <c r="C28" s="32">
        <v>10761</v>
      </c>
      <c r="D28" s="32">
        <v>1069</v>
      </c>
      <c r="E28" s="38">
        <f t="shared" si="0"/>
        <v>15296.735099280288</v>
      </c>
      <c r="F28" s="38">
        <f t="shared" si="1"/>
        <v>1519.5808773469591</v>
      </c>
      <c r="G28" s="38">
        <f t="shared" si="2"/>
        <v>15694.754412336553</v>
      </c>
      <c r="H28" s="38">
        <f t="shared" si="3"/>
        <v>2521.7366477207725</v>
      </c>
    </row>
    <row r="29" spans="2:13" x14ac:dyDescent="0.3">
      <c r="B29" s="30" t="s">
        <v>57</v>
      </c>
      <c r="C29" s="32">
        <v>15121</v>
      </c>
      <c r="D29" s="32">
        <v>2656</v>
      </c>
      <c r="E29" s="38">
        <f t="shared" si="0"/>
        <v>21494.464402585003</v>
      </c>
      <c r="F29" s="38">
        <f t="shared" si="1"/>
        <v>3775.4974838480107</v>
      </c>
      <c r="G29" s="38">
        <f t="shared" si="2"/>
        <v>21892.483715641269</v>
      </c>
      <c r="H29" s="38">
        <f>F29+$F$31</f>
        <v>4777.6532542218238</v>
      </c>
    </row>
    <row r="30" spans="2:13" x14ac:dyDescent="0.3">
      <c r="B30" s="30" t="s">
        <v>47</v>
      </c>
      <c r="C30" s="32"/>
      <c r="D30" s="32"/>
      <c r="E30" s="32"/>
      <c r="F30" s="32"/>
    </row>
    <row r="31" spans="2:13" x14ac:dyDescent="0.3">
      <c r="B31" s="30" t="s">
        <v>45</v>
      </c>
      <c r="C31" s="32">
        <v>280</v>
      </c>
      <c r="D31" s="32">
        <v>705</v>
      </c>
      <c r="E31" s="32">
        <f t="shared" ref="E31:F36" si="4">C31+(C31*$M$16)</f>
        <v>398.01931305626618</v>
      </c>
      <c r="F31" s="32">
        <f t="shared" si="4"/>
        <v>1002.1557703738131</v>
      </c>
      <c r="G31" t="s">
        <v>40</v>
      </c>
      <c r="H31" t="s">
        <v>40</v>
      </c>
    </row>
    <row r="32" spans="2:13" x14ac:dyDescent="0.3">
      <c r="B32" s="30" t="s">
        <v>46</v>
      </c>
      <c r="C32" s="32">
        <v>-1517</v>
      </c>
      <c r="D32" s="32">
        <v>815</v>
      </c>
      <c r="E32" s="32">
        <f t="shared" si="4"/>
        <v>-2156.4117782369849</v>
      </c>
      <c r="F32" s="32">
        <f t="shared" si="4"/>
        <v>1158.5205005030605</v>
      </c>
    </row>
    <row r="33" spans="2:6" x14ac:dyDescent="0.3">
      <c r="B33" s="30" t="s">
        <v>44</v>
      </c>
      <c r="C33" s="32">
        <v>1623</v>
      </c>
      <c r="D33" s="32">
        <v>545</v>
      </c>
      <c r="E33" s="32">
        <f t="shared" si="4"/>
        <v>2307.0905181797143</v>
      </c>
      <c r="F33" s="32">
        <f t="shared" si="4"/>
        <v>774.71616291308953</v>
      </c>
    </row>
    <row r="34" spans="2:6" x14ac:dyDescent="0.3">
      <c r="B34" s="30" t="s">
        <v>43</v>
      </c>
      <c r="C34" s="32">
        <v>9174</v>
      </c>
      <c r="D34" s="32">
        <v>1161</v>
      </c>
      <c r="E34" s="32">
        <f t="shared" si="4"/>
        <v>13040.818492779235</v>
      </c>
      <c r="F34" s="32">
        <f t="shared" si="4"/>
        <v>1650.358651636875</v>
      </c>
    </row>
    <row r="35" spans="2:6" x14ac:dyDescent="0.3">
      <c r="B35" s="30" t="s">
        <v>42</v>
      </c>
      <c r="C35" s="32">
        <v>467</v>
      </c>
      <c r="D35" s="32">
        <v>1349</v>
      </c>
      <c r="E35" s="32">
        <f t="shared" si="4"/>
        <v>663.83935427598681</v>
      </c>
      <c r="F35" s="32">
        <f t="shared" si="4"/>
        <v>1917.6001904032253</v>
      </c>
    </row>
    <row r="36" spans="2:6" x14ac:dyDescent="0.3">
      <c r="B36" s="30" t="s">
        <v>41</v>
      </c>
      <c r="C36" s="32">
        <v>-689</v>
      </c>
      <c r="D36" s="32">
        <v>3735</v>
      </c>
      <c r="E36" s="32">
        <f t="shared" si="4"/>
        <v>-979.41180962774069</v>
      </c>
      <c r="F36" s="32">
        <f t="shared" si="4"/>
        <v>5309.2933366612651</v>
      </c>
    </row>
    <row r="38" spans="2:6" x14ac:dyDescent="0.3">
      <c r="B38" t="s">
        <v>61</v>
      </c>
    </row>
    <row r="39" spans="2:6" x14ac:dyDescent="0.3">
      <c r="B39" t="s">
        <v>62</v>
      </c>
    </row>
  </sheetData>
  <mergeCells count="4">
    <mergeCell ref="C16:D16"/>
    <mergeCell ref="E17:F17"/>
    <mergeCell ref="G17:H17"/>
    <mergeCell ref="E16:H16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C690-CA4A-4E92-8B20-842ABDD04AF8}">
  <dimension ref="B3:K24"/>
  <sheetViews>
    <sheetView tabSelected="1" workbookViewId="0">
      <selection activeCell="F24" sqref="F24"/>
    </sheetView>
  </sheetViews>
  <sheetFormatPr defaultRowHeight="14.4" x14ac:dyDescent="0.3"/>
  <cols>
    <col min="2" max="2" width="31.21875" customWidth="1"/>
  </cols>
  <sheetData>
    <row r="3" spans="2:7" x14ac:dyDescent="0.3">
      <c r="C3" t="s">
        <v>68</v>
      </c>
      <c r="D3" t="s">
        <v>69</v>
      </c>
      <c r="E3" t="s">
        <v>70</v>
      </c>
      <c r="F3" t="s">
        <v>71</v>
      </c>
    </row>
    <row r="4" spans="2:7" x14ac:dyDescent="0.3">
      <c r="B4" t="s">
        <v>72</v>
      </c>
      <c r="C4">
        <v>289</v>
      </c>
      <c r="D4">
        <v>0</v>
      </c>
      <c r="E4">
        <v>119</v>
      </c>
      <c r="F4">
        <v>2048</v>
      </c>
      <c r="G4" s="32">
        <f>C4+(C4*$K$17)</f>
        <v>348.76277021760404</v>
      </c>
    </row>
    <row r="5" spans="2:7" x14ac:dyDescent="0.3">
      <c r="B5" t="s">
        <v>73</v>
      </c>
      <c r="C5">
        <v>2012</v>
      </c>
      <c r="D5">
        <v>0</v>
      </c>
      <c r="E5">
        <v>2009</v>
      </c>
      <c r="F5">
        <v>2005</v>
      </c>
    </row>
    <row r="6" spans="2:7" x14ac:dyDescent="0.3">
      <c r="B6" t="s">
        <v>74</v>
      </c>
      <c r="C6">
        <v>229</v>
      </c>
      <c r="D6">
        <v>366</v>
      </c>
      <c r="E6">
        <v>4793</v>
      </c>
      <c r="F6">
        <v>0</v>
      </c>
    </row>
    <row r="7" spans="2:7" x14ac:dyDescent="0.3">
      <c r="B7" t="s">
        <v>75</v>
      </c>
      <c r="C7">
        <v>0</v>
      </c>
      <c r="D7">
        <v>0</v>
      </c>
      <c r="E7">
        <v>0</v>
      </c>
      <c r="F7">
        <v>1623</v>
      </c>
    </row>
    <row r="8" spans="2:7" x14ac:dyDescent="0.3">
      <c r="B8" t="s">
        <v>76</v>
      </c>
      <c r="C8">
        <v>381</v>
      </c>
      <c r="D8">
        <v>780</v>
      </c>
      <c r="E8">
        <v>8365</v>
      </c>
      <c r="F8">
        <v>0</v>
      </c>
    </row>
    <row r="9" spans="2:7" x14ac:dyDescent="0.3">
      <c r="B9" t="s">
        <v>77</v>
      </c>
      <c r="C9">
        <v>557</v>
      </c>
      <c r="D9">
        <v>993</v>
      </c>
      <c r="E9">
        <v>0</v>
      </c>
      <c r="F9">
        <v>0</v>
      </c>
    </row>
    <row r="10" spans="2:7" x14ac:dyDescent="0.3">
      <c r="B10" t="s">
        <v>78</v>
      </c>
      <c r="C10">
        <v>738</v>
      </c>
      <c r="D10">
        <v>887</v>
      </c>
      <c r="E10">
        <v>10244</v>
      </c>
      <c r="F10">
        <v>0</v>
      </c>
    </row>
    <row r="11" spans="2:7" x14ac:dyDescent="0.3">
      <c r="B11" t="s">
        <v>79</v>
      </c>
      <c r="C11">
        <v>1860</v>
      </c>
      <c r="D11">
        <v>1869</v>
      </c>
      <c r="E11">
        <v>0</v>
      </c>
      <c r="F11">
        <v>0</v>
      </c>
    </row>
    <row r="12" spans="2:7" x14ac:dyDescent="0.3">
      <c r="B12" t="s">
        <v>80</v>
      </c>
      <c r="C12">
        <v>3579</v>
      </c>
      <c r="D12">
        <v>1727</v>
      </c>
      <c r="E12">
        <v>0</v>
      </c>
      <c r="F12">
        <v>0</v>
      </c>
    </row>
    <row r="16" spans="2:7" x14ac:dyDescent="0.3">
      <c r="C16" t="s">
        <v>68</v>
      </c>
      <c r="D16" t="s">
        <v>69</v>
      </c>
    </row>
    <row r="17" spans="2:11" x14ac:dyDescent="0.3">
      <c r="C17" s="45" t="s">
        <v>81</v>
      </c>
      <c r="D17" s="45"/>
      <c r="E17" s="45" t="s">
        <v>63</v>
      </c>
      <c r="F17" s="45"/>
      <c r="I17">
        <f>'Inflation index'!$B$18</f>
        <v>294.24309</v>
      </c>
      <c r="J17">
        <f>'Severity Costs'!$L$16</f>
        <v>355.09008714805464</v>
      </c>
      <c r="K17" s="11">
        <f>(J17-I17)/I17</f>
        <v>0.20679159244845696</v>
      </c>
    </row>
    <row r="18" spans="2:11" x14ac:dyDescent="0.3">
      <c r="C18" s="30" t="s">
        <v>91</v>
      </c>
      <c r="D18" s="30" t="s">
        <v>92</v>
      </c>
      <c r="E18" s="30" t="str">
        <f>C18</f>
        <v>mean</v>
      </c>
      <c r="F18" s="30" t="str">
        <f>D18</f>
        <v>sd</v>
      </c>
      <c r="G18" s="31" t="s">
        <v>82</v>
      </c>
    </row>
    <row r="19" spans="2:11" x14ac:dyDescent="0.3">
      <c r="B19" s="31" t="s">
        <v>74</v>
      </c>
      <c r="C19" s="31">
        <v>229</v>
      </c>
      <c r="D19" s="31">
        <v>366</v>
      </c>
      <c r="E19" s="32">
        <f>C6+(C6*$K$17)</f>
        <v>276.35527467069664</v>
      </c>
      <c r="F19" s="32">
        <f>D6+(D6*$K$17)</f>
        <v>441.68572283613526</v>
      </c>
      <c r="G19" s="36"/>
    </row>
    <row r="20" spans="2:11" x14ac:dyDescent="0.3">
      <c r="B20" s="31" t="s">
        <v>76</v>
      </c>
      <c r="C20" s="31">
        <v>381</v>
      </c>
      <c r="D20" s="31">
        <v>780</v>
      </c>
      <c r="E20" s="32">
        <f t="shared" ref="E20:F24" si="0">C8+(C8*$K$17)</f>
        <v>459.78759672286208</v>
      </c>
      <c r="F20" s="32">
        <f t="shared" si="0"/>
        <v>941.29744210979641</v>
      </c>
      <c r="G20" s="36"/>
    </row>
    <row r="21" spans="2:11" x14ac:dyDescent="0.3">
      <c r="B21" s="31" t="s">
        <v>77</v>
      </c>
      <c r="C21" s="31">
        <v>557</v>
      </c>
      <c r="D21" s="31">
        <v>993</v>
      </c>
      <c r="E21" s="32">
        <f t="shared" si="0"/>
        <v>672.18291699379051</v>
      </c>
      <c r="F21" s="32">
        <f t="shared" si="0"/>
        <v>1198.3440513013177</v>
      </c>
      <c r="G21" s="36"/>
    </row>
    <row r="22" spans="2:11" x14ac:dyDescent="0.3">
      <c r="B22" s="31" t="s">
        <v>90</v>
      </c>
      <c r="C22" s="31">
        <v>738</v>
      </c>
      <c r="D22" s="31">
        <v>887</v>
      </c>
      <c r="E22" s="32">
        <f t="shared" si="0"/>
        <v>890.61219522696126</v>
      </c>
      <c r="F22" s="32">
        <f t="shared" si="0"/>
        <v>1070.4241425017813</v>
      </c>
      <c r="G22" s="36"/>
    </row>
    <row r="23" spans="2:11" x14ac:dyDescent="0.3">
      <c r="B23" s="31" t="s">
        <v>79</v>
      </c>
      <c r="C23" s="31">
        <v>1860</v>
      </c>
      <c r="D23" s="31">
        <v>1869</v>
      </c>
      <c r="E23" s="32">
        <f t="shared" si="0"/>
        <v>2244.6323619541299</v>
      </c>
      <c r="F23" s="32">
        <f t="shared" si="0"/>
        <v>2255.493486286166</v>
      </c>
      <c r="G23" s="36"/>
    </row>
    <row r="24" spans="2:11" x14ac:dyDescent="0.3">
      <c r="B24" s="31" t="s">
        <v>80</v>
      </c>
      <c r="C24" s="31">
        <v>3579</v>
      </c>
      <c r="D24" s="31">
        <v>1727</v>
      </c>
      <c r="E24" s="32">
        <f t="shared" si="0"/>
        <v>4319.1071093730279</v>
      </c>
      <c r="F24" s="32">
        <f t="shared" si="0"/>
        <v>2084.1290801584851</v>
      </c>
      <c r="G24" s="36"/>
    </row>
  </sheetData>
  <mergeCells count="2">
    <mergeCell ref="C17:D17"/>
    <mergeCell ref="E17:F17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B07C05-02C1-4BDE-810B-582CD9BB0C39}">
  <ds:schemaRefs>
    <ds:schemaRef ds:uri="http://schemas.microsoft.com/office/2006/metadata/properties"/>
    <ds:schemaRef ds:uri="http://schemas.microsoft.com/office/infopath/2007/PartnerControls"/>
    <ds:schemaRef ds:uri="a4e98822-f433-4c96-8830-5cb2d7491f7d"/>
  </ds:schemaRefs>
</ds:datastoreItem>
</file>

<file path=customXml/itemProps2.xml><?xml version="1.0" encoding="utf-8"?>
<ds:datastoreItem xmlns:ds="http://schemas.openxmlformats.org/officeDocument/2006/customXml" ds:itemID="{1FDB7450-4CB5-4DCF-969F-0F2F38D277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851DE6-670D-4415-BCD0-064E7D7F59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Inflation index</vt:lpstr>
      <vt:lpstr>Severity Costs</vt:lpstr>
      <vt:lpstr>Relapse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Sadek</dc:creator>
  <cp:lastModifiedBy>Ayman Sadek</cp:lastModifiedBy>
  <dcterms:created xsi:type="dcterms:W3CDTF">2024-10-01T10:03:07Z</dcterms:created>
  <dcterms:modified xsi:type="dcterms:W3CDTF">2024-11-05T01:52:26Z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  <property fmtid="{D5CDD505-2E9C-101B-9397-08002B2CF9AE}" pid="3" name="MediaServiceImageTags">
    <vt:lpwstr/>
  </property>
</Properties>
</file>