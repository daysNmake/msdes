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https://uob.sharepoint.com/teams/grp-Bristol_TAG-MTA-MS/Shared Documents/MTA-MS/Working Folder_HE/MS Models/Git Repo/MS-MTA/data-raw/"/>
    </mc:Choice>
  </mc:AlternateContent>
  <xr:revisionPtr revIDLastSave="77" documentId="8_{35B0883A-CD7F-4594-B5DA-4C822AF78DA1}" xr6:coauthVersionLast="47" xr6:coauthVersionMax="47" xr10:uidLastSave="{0B155E8A-A127-49DF-8017-8D3F497EC10E}"/>
  <bookViews>
    <workbookView xWindow="28800" yWindow="-16305" windowWidth="14610" windowHeight="15585" xr2:uid="{00000000-000D-0000-FFFF-FFFF00000000}"/>
  </bookViews>
  <sheets>
    <sheet name="Models with DMTs" sheetId="1" r:id="rId1"/>
    <sheet name="Models without DMTs" sheetId="2" r:id="rId2"/>
    <sheet name="Table 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91" i="1" l="1"/>
  <c r="N89" i="1"/>
  <c r="N90" i="1"/>
  <c r="M91" i="1"/>
  <c r="N92" i="1"/>
  <c r="M92" i="1"/>
  <c r="N104" i="1"/>
  <c r="O104" i="1"/>
  <c r="M104" i="1"/>
  <c r="P104" i="1"/>
  <c r="P102" i="1"/>
  <c r="P103" i="1"/>
  <c r="P101" i="1"/>
  <c r="N101" i="1"/>
  <c r="O101" i="1"/>
  <c r="N102" i="1"/>
  <c r="O102" i="1"/>
  <c r="N103" i="1"/>
  <c r="O103" i="1"/>
  <c r="M102" i="1"/>
  <c r="M103" i="1"/>
  <c r="M101" i="1"/>
  <c r="M90" i="1"/>
  <c r="M89" i="1"/>
  <c r="N120" i="1"/>
  <c r="P132" i="1"/>
  <c r="O132" i="1"/>
  <c r="N132" i="1"/>
  <c r="M132" i="1"/>
  <c r="P131" i="1"/>
  <c r="O131" i="1"/>
  <c r="N131" i="1"/>
  <c r="M131" i="1"/>
  <c r="P130" i="1"/>
  <c r="O130" i="1"/>
  <c r="N130" i="1"/>
  <c r="M130" i="1"/>
  <c r="P129" i="1"/>
  <c r="O129" i="1"/>
  <c r="N129" i="1"/>
  <c r="M120" i="1"/>
  <c r="M119" i="1"/>
  <c r="N118" i="1" a="1"/>
  <c r="N118" i="1" s="1"/>
  <c r="M118" i="1"/>
  <c r="M113" i="1"/>
  <c r="P76" i="1"/>
  <c r="O76" i="1"/>
  <c r="N76" i="1"/>
  <c r="M76" i="1"/>
  <c r="P75" i="1"/>
  <c r="O75" i="1"/>
  <c r="N75" i="1"/>
  <c r="M75" i="1"/>
  <c r="P74" i="1"/>
  <c r="O74" i="1"/>
  <c r="N74" i="1"/>
  <c r="M74" i="1"/>
  <c r="P73" i="1"/>
  <c r="O73" i="1"/>
  <c r="N73" i="1"/>
  <c r="N64" i="1"/>
  <c r="M64" i="1"/>
  <c r="M63" i="1"/>
  <c r="N62" i="1" a="1"/>
  <c r="N62" i="1" s="1"/>
  <c r="M62" i="1"/>
  <c r="M57" i="1"/>
  <c r="P48" i="1"/>
  <c r="O48" i="1"/>
  <c r="N48" i="1"/>
  <c r="M48" i="1"/>
  <c r="P47" i="1"/>
  <c r="O47" i="1"/>
  <c r="N47" i="1"/>
  <c r="M47" i="1"/>
  <c r="P46" i="1"/>
  <c r="O46" i="1"/>
  <c r="N46" i="1"/>
  <c r="M46" i="1"/>
  <c r="P45" i="1"/>
  <c r="O45" i="1"/>
  <c r="N45" i="1"/>
  <c r="N36" i="1"/>
  <c r="M36" i="1"/>
  <c r="M35" i="1"/>
  <c r="N34" i="1" a="1"/>
  <c r="N34" i="1" s="1"/>
  <c r="M34" i="1"/>
  <c r="M29" i="1"/>
  <c r="P20" i="1"/>
  <c r="O20" i="1"/>
  <c r="N20" i="1"/>
  <c r="M20" i="1"/>
  <c r="P19" i="1"/>
  <c r="O19" i="1"/>
  <c r="N19" i="1"/>
  <c r="M19" i="1"/>
  <c r="P18" i="1"/>
  <c r="O18" i="1"/>
  <c r="N18" i="1"/>
  <c r="M18" i="1"/>
  <c r="P17" i="1"/>
  <c r="O17" i="1"/>
  <c r="N17" i="1"/>
  <c r="N8" i="1"/>
  <c r="M8" i="1"/>
  <c r="M7" i="1"/>
  <c r="N6" i="1" a="1"/>
  <c r="N6" i="1" s="1"/>
  <c r="M6" i="1"/>
  <c r="M1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<sst xmlns="http://schemas.openxmlformats.org/spreadsheetml/2006/main" count="388" uniqueCount="46">
  <si>
    <t>Time to EDSS Increase (RRMS Highly Active)</t>
  </si>
  <si>
    <t>Results (Coefficients and Rates with 95% CI)</t>
  </si>
  <si>
    <t/>
  </si>
  <si>
    <t>Coefficient</t>
  </si>
  <si>
    <t>Lower_95_CI_log</t>
  </si>
  <si>
    <t>Upper_95_CI_log</t>
  </si>
  <si>
    <t>Rate</t>
  </si>
  <si>
    <t>Lower_95_CI_rate</t>
  </si>
  <si>
    <t>Upper_95_CI_rate</t>
  </si>
  <si>
    <t>rate</t>
  </si>
  <si>
    <t>BaselineWebEDSS</t>
  </si>
  <si>
    <t>DMTAlemtuzumab</t>
  </si>
  <si>
    <t>DMTCladribine</t>
  </si>
  <si>
    <t>DMTFingolimod</t>
  </si>
  <si>
    <t>DMTGlatiramer Acetate</t>
  </si>
  <si>
    <t>DMTNatalizumab</t>
  </si>
  <si>
    <t>DMTOcrelizumab</t>
  </si>
  <si>
    <t>DMTOfatumumab</t>
  </si>
  <si>
    <t>DMTPonesimod</t>
  </si>
  <si>
    <t>Covariance Matrix</t>
  </si>
  <si>
    <t>Time to EDSS Increase (All RRMS)</t>
  </si>
  <si>
    <t>Time to EDSS Decrease (All RRMS)</t>
  </si>
  <si>
    <t>Time to EDSS Increase (SPMS)</t>
  </si>
  <si>
    <t>Time to EDSS Decrease (SPMS)</t>
  </si>
  <si>
    <t>Time to Relapse (SPMS)</t>
  </si>
  <si>
    <t>Time to Relapse (RRMS Highly Active)</t>
  </si>
  <si>
    <t>Time to Relapse (All RRMS)</t>
  </si>
  <si>
    <t>Time to SP Conversion (RRMS Highly Active)</t>
  </si>
  <si>
    <t>Time to SP Conversion (All RRMS)</t>
  </si>
  <si>
    <t>Group</t>
  </si>
  <si>
    <t>N</t>
  </si>
  <si>
    <t>N.Alemtuzumab</t>
  </si>
  <si>
    <t>N.Beta.Interferon</t>
  </si>
  <si>
    <t>N.Cladribine</t>
  </si>
  <si>
    <t>N.Fingolimod</t>
  </si>
  <si>
    <t>N.Glatiramer.Acetate</t>
  </si>
  <si>
    <t>N.Natalizumab</t>
  </si>
  <si>
    <t>N.Ocrelizumab</t>
  </si>
  <si>
    <t>N.Ofatumumab</t>
  </si>
  <si>
    <t>N.Ponesimod</t>
  </si>
  <si>
    <t>N.Female</t>
  </si>
  <si>
    <t>Age.mean</t>
  </si>
  <si>
    <t>Age.sd</t>
  </si>
  <si>
    <t>Age.median</t>
  </si>
  <si>
    <t>Age.Q1</t>
  </si>
  <si>
    <t>Age.Q3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</si>
</sst>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5"/>
  <sheetViews>
    <sheetView tabSelected="1" topLeftCell="D73" zoomScale="90" zoomScaleNormal="90" workbookViewId="0">
      <selection activeCell="P104" sqref="P104"/>
    </sheetView>
  </sheetViews>
  <sheetFormatPr defaultColWidth="11.5546875" defaultRowHeight="14.4" x14ac:dyDescent="0.3"/>
  <sheetData>
    <row r="1" spans="1:14" x14ac:dyDescent="0.3">
      <c r="A1" t="s">
        <v>0</v>
      </c>
      <c r="M1" s="1" t="str">
        <f>A1</f>
        <v>Time to EDSS Increase (RRMS Highly Active)</v>
      </c>
    </row>
    <row r="3" spans="1:14" x14ac:dyDescent="0.3">
      <c r="A3" t="s">
        <v>1</v>
      </c>
    </row>
    <row r="5" spans="1:14" x14ac:dyDescent="0.3">
      <c r="A5" t="s">
        <v>2</v>
      </c>
      <c r="B5" t="s">
        <v>3</v>
      </c>
      <c r="C5" t="s">
        <v>4</v>
      </c>
      <c r="D5" t="s">
        <v>5</v>
      </c>
      <c r="E5" t="s">
        <v>6</v>
      </c>
      <c r="F5" t="s">
        <v>7</v>
      </c>
      <c r="G5" t="s">
        <v>8</v>
      </c>
    </row>
    <row r="6" spans="1:14" x14ac:dyDescent="0.3">
      <c r="A6" s="2" t="s">
        <v>9</v>
      </c>
      <c r="B6" s="2">
        <v>-0.93328576803243601</v>
      </c>
      <c r="C6">
        <v>-1.93873657587188</v>
      </c>
      <c r="D6">
        <v>7.2165039807004394E-2</v>
      </c>
      <c r="E6">
        <v>0.39325942592666402</v>
      </c>
      <c r="F6">
        <v>0.14388562355651</v>
      </c>
      <c r="G6">
        <v>1.0748327196109999</v>
      </c>
      <c r="M6" s="1" t="str">
        <f>A6</f>
        <v>rate</v>
      </c>
      <c r="N6" s="1" cm="1">
        <f t="array" ref="N6:N7">B6:B7</f>
        <v>-0.93328576803243601</v>
      </c>
    </row>
    <row r="7" spans="1:14" x14ac:dyDescent="0.3">
      <c r="A7" s="2" t="s">
        <v>10</v>
      </c>
      <c r="B7" s="2">
        <v>-0.17821799768039401</v>
      </c>
      <c r="C7">
        <v>-0.32541850366020603</v>
      </c>
      <c r="D7">
        <v>-3.1017491700581001E-2</v>
      </c>
      <c r="E7">
        <v>0.83675999186738204</v>
      </c>
      <c r="F7">
        <v>0.72222503656478798</v>
      </c>
      <c r="G7">
        <v>0.96945861544789003</v>
      </c>
      <c r="M7" s="1" t="str">
        <f>A7</f>
        <v>BaselineWebEDSS</v>
      </c>
      <c r="N7" s="1">
        <v>-0.17821799768039401</v>
      </c>
    </row>
    <row r="8" spans="1:14" x14ac:dyDescent="0.3">
      <c r="A8" t="s">
        <v>11</v>
      </c>
      <c r="B8">
        <v>-0.337646467169397</v>
      </c>
      <c r="C8">
        <v>-1.4852883383386899</v>
      </c>
      <c r="D8">
        <v>0.80999540399989101</v>
      </c>
      <c r="E8">
        <v>0.71344747042195999</v>
      </c>
      <c r="F8">
        <v>0.22643704078253399</v>
      </c>
      <c r="G8">
        <v>2.2478976553148602</v>
      </c>
      <c r="M8" s="1" t="str">
        <f>A12</f>
        <v>DMTNatalizumab</v>
      </c>
      <c r="N8" s="1">
        <f>B12</f>
        <v>-1.2610405266029401</v>
      </c>
    </row>
    <row r="9" spans="1:14" x14ac:dyDescent="0.3">
      <c r="A9" t="s">
        <v>12</v>
      </c>
      <c r="B9">
        <v>-3.2887722236173098</v>
      </c>
      <c r="C9">
        <v>-5.4394410251221998</v>
      </c>
      <c r="D9">
        <v>-1.13810342211243</v>
      </c>
      <c r="E9">
        <v>3.7299616883039101E-2</v>
      </c>
      <c r="F9">
        <v>4.3419096109383196E-3</v>
      </c>
      <c r="G9">
        <v>0.32042615906065303</v>
      </c>
    </row>
    <row r="10" spans="1:14" x14ac:dyDescent="0.3">
      <c r="A10" t="s">
        <v>19</v>
      </c>
      <c r="B10">
        <v>-2.38076618340751</v>
      </c>
      <c r="C10">
        <v>-3.5330094392104798</v>
      </c>
      <c r="D10">
        <v>-1.22852292760454</v>
      </c>
      <c r="E10">
        <v>9.2479693951870001E-2</v>
      </c>
      <c r="F10">
        <v>2.9216857074422498E-2</v>
      </c>
      <c r="G10">
        <v>0.29272463398942</v>
      </c>
    </row>
    <row r="11" spans="1:14" x14ac:dyDescent="0.3">
      <c r="A11" t="s">
        <v>14</v>
      </c>
      <c r="B11">
        <v>-1.03588700903377</v>
      </c>
      <c r="C11">
        <v>-2.2337291044907301</v>
      </c>
      <c r="D11">
        <v>0.16195508642318801</v>
      </c>
      <c r="E11">
        <v>0.35491143161812699</v>
      </c>
      <c r="F11">
        <v>0.107128192112616</v>
      </c>
      <c r="G11">
        <v>1.1758074304177</v>
      </c>
    </row>
    <row r="12" spans="1:14" x14ac:dyDescent="0.3">
      <c r="A12" s="2" t="s">
        <v>15</v>
      </c>
      <c r="B12" s="2">
        <v>-1.2610405266029401</v>
      </c>
      <c r="C12">
        <v>-2.5006309094119898</v>
      </c>
      <c r="D12">
        <v>-2.1450143793895898E-2</v>
      </c>
      <c r="E12">
        <v>0.28335903044140398</v>
      </c>
      <c r="F12">
        <v>8.2033226759079203E-2</v>
      </c>
      <c r="G12">
        <v>0.97877827442410203</v>
      </c>
    </row>
    <row r="13" spans="1:14" x14ac:dyDescent="0.3">
      <c r="A13" t="s">
        <v>16</v>
      </c>
      <c r="B13">
        <v>-1.0477937411736999</v>
      </c>
      <c r="C13">
        <v>-2.0924067896689298</v>
      </c>
      <c r="D13">
        <v>-3.1806926784632198E-3</v>
      </c>
      <c r="E13">
        <v>0.35071065466011803</v>
      </c>
      <c r="F13">
        <v>0.123389804846871</v>
      </c>
      <c r="G13">
        <v>0.99682436036568101</v>
      </c>
    </row>
    <row r="14" spans="1:14" x14ac:dyDescent="0.3">
      <c r="A14" t="s">
        <v>17</v>
      </c>
      <c r="B14">
        <v>-1.8133153744103401</v>
      </c>
      <c r="C14">
        <v>-3.2447558441914599</v>
      </c>
      <c r="D14">
        <v>-0.38187490462923102</v>
      </c>
      <c r="E14">
        <v>0.163112460491454</v>
      </c>
      <c r="F14">
        <v>3.8978079920216298E-2</v>
      </c>
      <c r="G14">
        <v>0.68258043551747405</v>
      </c>
    </row>
    <row r="15" spans="1:14" x14ac:dyDescent="0.3">
      <c r="A15" t="s">
        <v>18</v>
      </c>
      <c r="B15">
        <v>-1.4308697834794899</v>
      </c>
      <c r="C15">
        <v>-3.5781910927904401</v>
      </c>
      <c r="D15">
        <v>0.71645152583145499</v>
      </c>
      <c r="E15">
        <v>0.23910086579184001</v>
      </c>
      <c r="F15">
        <v>2.7926168440971601E-2</v>
      </c>
      <c r="G15">
        <v>2.0471560265507902</v>
      </c>
    </row>
    <row r="17" spans="1:16" x14ac:dyDescent="0.3">
      <c r="A17" t="s">
        <v>2</v>
      </c>
      <c r="B17" t="s">
        <v>9</v>
      </c>
      <c r="C17" t="s">
        <v>10</v>
      </c>
      <c r="D17" t="s">
        <v>11</v>
      </c>
      <c r="E17" t="s">
        <v>12</v>
      </c>
      <c r="F17" t="s">
        <v>13</v>
      </c>
      <c r="G17" t="s">
        <v>14</v>
      </c>
      <c r="H17" s="2" t="s">
        <v>15</v>
      </c>
      <c r="I17" t="s">
        <v>16</v>
      </c>
      <c r="J17" t="s">
        <v>17</v>
      </c>
      <c r="K17" t="s">
        <v>18</v>
      </c>
      <c r="M17" s="1"/>
      <c r="N17" s="1" t="str">
        <f t="shared" ref="N17:O19" si="0">B17</f>
        <v>rate</v>
      </c>
      <c r="O17" s="1" t="str">
        <f t="shared" si="0"/>
        <v>BaselineWebEDSS</v>
      </c>
      <c r="P17" s="1" t="str">
        <f>H17</f>
        <v>DMTNatalizumab</v>
      </c>
    </row>
    <row r="18" spans="1:16" x14ac:dyDescent="0.3">
      <c r="A18" s="2" t="s">
        <v>9</v>
      </c>
      <c r="B18" s="2">
        <v>0.26316339030866298</v>
      </c>
      <c r="C18">
        <v>-1.8875307705194699E-2</v>
      </c>
      <c r="D18">
        <v>-0.20041514628743301</v>
      </c>
      <c r="E18">
        <v>-0.21602930583796601</v>
      </c>
      <c r="F18">
        <v>-0.21319763209887799</v>
      </c>
      <c r="G18">
        <v>-0.220791591435026</v>
      </c>
      <c r="H18" s="2">
        <v>-0.20013068556695801</v>
      </c>
      <c r="I18">
        <v>-0.206789140664149</v>
      </c>
      <c r="J18">
        <v>-0.19799650367743901</v>
      </c>
      <c r="K18">
        <v>-0.204513489476117</v>
      </c>
      <c r="M18" s="1" t="str">
        <f>A18</f>
        <v>rate</v>
      </c>
      <c r="N18" s="1">
        <f t="shared" si="0"/>
        <v>0.26316339030866298</v>
      </c>
      <c r="O18" s="1">
        <f t="shared" si="0"/>
        <v>-1.8875307705194699E-2</v>
      </c>
      <c r="P18" s="1">
        <f>H18</f>
        <v>-0.20013068556695801</v>
      </c>
    </row>
    <row r="19" spans="1:16" x14ac:dyDescent="0.3">
      <c r="A19" s="2" t="s">
        <v>10</v>
      </c>
      <c r="B19" s="2">
        <v>-1.8875307705194699E-2</v>
      </c>
      <c r="C19">
        <v>5.6405626018913302E-3</v>
      </c>
      <c r="D19">
        <v>1.2406909820135599E-4</v>
      </c>
      <c r="E19">
        <v>4.79009339807915E-3</v>
      </c>
      <c r="F19">
        <v>3.9438961735110203E-3</v>
      </c>
      <c r="G19">
        <v>6.2132209284104199E-3</v>
      </c>
      <c r="H19" s="2">
        <v>3.9062881273277897E-5</v>
      </c>
      <c r="I19">
        <v>2.0288282082139E-3</v>
      </c>
      <c r="J19">
        <v>-5.9870084370400702E-4</v>
      </c>
      <c r="K19">
        <v>1.3487888051340899E-3</v>
      </c>
      <c r="M19" s="1" t="str">
        <f>A19</f>
        <v>BaselineWebEDSS</v>
      </c>
      <c r="N19" s="1">
        <f t="shared" si="0"/>
        <v>-1.8875307705194699E-2</v>
      </c>
      <c r="O19" s="1">
        <f t="shared" si="0"/>
        <v>5.6405626018913302E-3</v>
      </c>
      <c r="P19" s="1">
        <f>H19</f>
        <v>3.9062881273277897E-5</v>
      </c>
    </row>
    <row r="20" spans="1:16" x14ac:dyDescent="0.3">
      <c r="A20" t="s">
        <v>11</v>
      </c>
      <c r="B20">
        <v>-0.20041514628743301</v>
      </c>
      <c r="C20">
        <v>1.2406909820135599E-4</v>
      </c>
      <c r="D20">
        <v>0.34285981600681498</v>
      </c>
      <c r="E20">
        <v>0.20010532970355699</v>
      </c>
      <c r="F20">
        <v>0.200086716856859</v>
      </c>
      <c r="G20">
        <v>0.20013663263579101</v>
      </c>
      <c r="H20">
        <v>0.20000082663991001</v>
      </c>
      <c r="I20">
        <v>0.20004459326526799</v>
      </c>
      <c r="J20">
        <v>0.19998679847015</v>
      </c>
      <c r="K20">
        <v>0.20002963520473299</v>
      </c>
      <c r="M20" s="1" t="str">
        <f>A24</f>
        <v>DMTNatalizumab</v>
      </c>
      <c r="N20" s="1">
        <f>B24</f>
        <v>-0.20013068556695801</v>
      </c>
      <c r="O20" s="1">
        <f>C24</f>
        <v>3.9062881273277897E-5</v>
      </c>
      <c r="P20" s="1">
        <f>H24</f>
        <v>0.40000020535819097</v>
      </c>
    </row>
    <row r="21" spans="1:16" x14ac:dyDescent="0.3">
      <c r="A21" t="s">
        <v>12</v>
      </c>
      <c r="B21">
        <v>-0.21602930583796601</v>
      </c>
      <c r="C21">
        <v>4.79009339807915E-3</v>
      </c>
      <c r="D21">
        <v>0.20010532970355699</v>
      </c>
      <c r="E21">
        <v>1.2040676497296601</v>
      </c>
      <c r="F21">
        <v>0.20334921329227101</v>
      </c>
      <c r="G21">
        <v>0.205276375225182</v>
      </c>
      <c r="H21">
        <v>0.20003314050054799</v>
      </c>
      <c r="I21">
        <v>0.20172289424134901</v>
      </c>
      <c r="J21">
        <v>0.19949153711385401</v>
      </c>
      <c r="K21">
        <v>0.20114538939184901</v>
      </c>
    </row>
    <row r="22" spans="1:16" x14ac:dyDescent="0.3">
      <c r="A22" t="s">
        <v>13</v>
      </c>
      <c r="B22">
        <v>-0.21319763209887799</v>
      </c>
      <c r="C22">
        <v>3.9438961735110203E-3</v>
      </c>
      <c r="D22">
        <v>0.200086716856859</v>
      </c>
      <c r="E22">
        <v>0.20334921329227101</v>
      </c>
      <c r="F22">
        <v>0.34561466945610397</v>
      </c>
      <c r="G22">
        <v>0.20434426779605</v>
      </c>
      <c r="H22">
        <v>0.20002728028686001</v>
      </c>
      <c r="I22">
        <v>0.20141852942518801</v>
      </c>
      <c r="J22">
        <v>0.19958135421679099</v>
      </c>
      <c r="K22">
        <v>0.200943044089716</v>
      </c>
    </row>
    <row r="23" spans="1:16" x14ac:dyDescent="0.3">
      <c r="A23" t="s">
        <v>14</v>
      </c>
      <c r="B23">
        <v>-0.220791591435026</v>
      </c>
      <c r="C23">
        <v>6.2132209284104199E-3</v>
      </c>
      <c r="D23">
        <v>0.20013663263579101</v>
      </c>
      <c r="E23">
        <v>0.205276375225182</v>
      </c>
      <c r="F23">
        <v>0.20434426779605</v>
      </c>
      <c r="G23">
        <v>0.37351062516126499</v>
      </c>
      <c r="H23">
        <v>0.20004299615950499</v>
      </c>
      <c r="I23">
        <v>0.202234772484846</v>
      </c>
      <c r="J23">
        <v>0.19934048344888</v>
      </c>
      <c r="K23">
        <v>0.201485692056005</v>
      </c>
    </row>
    <row r="24" spans="1:16" x14ac:dyDescent="0.3">
      <c r="A24" s="2" t="s">
        <v>15</v>
      </c>
      <c r="B24" s="2">
        <v>-0.20013068556695801</v>
      </c>
      <c r="C24">
        <v>3.9062881273277897E-5</v>
      </c>
      <c r="D24">
        <v>0.20000082663991001</v>
      </c>
      <c r="E24">
        <v>0.20003314050054799</v>
      </c>
      <c r="F24">
        <v>0.20002728028686001</v>
      </c>
      <c r="G24">
        <v>0.20004299615950499</v>
      </c>
      <c r="H24" s="2">
        <v>0.40000020535819097</v>
      </c>
      <c r="I24">
        <v>0.200014017767184</v>
      </c>
      <c r="J24">
        <v>0.199995821203721</v>
      </c>
      <c r="K24">
        <v>0.20000930825472901</v>
      </c>
    </row>
    <row r="25" spans="1:16" x14ac:dyDescent="0.3">
      <c r="A25" t="s">
        <v>16</v>
      </c>
      <c r="B25">
        <v>-0.206789140664149</v>
      </c>
      <c r="C25">
        <v>2.0288282082139E-3</v>
      </c>
      <c r="D25">
        <v>0.20004459326526799</v>
      </c>
      <c r="E25">
        <v>0.20172289424134901</v>
      </c>
      <c r="F25">
        <v>0.20141852942518801</v>
      </c>
      <c r="G25">
        <v>0.202234772484846</v>
      </c>
      <c r="H25">
        <v>0.200014017767184</v>
      </c>
      <c r="I25">
        <v>0.284063027100036</v>
      </c>
      <c r="J25">
        <v>0.19978462344497999</v>
      </c>
      <c r="K25">
        <v>0.20048510710454101</v>
      </c>
    </row>
    <row r="26" spans="1:16" x14ac:dyDescent="0.3">
      <c r="A26" t="s">
        <v>17</v>
      </c>
      <c r="B26">
        <v>-0.19799650367743901</v>
      </c>
      <c r="C26">
        <v>-5.9870084370400702E-4</v>
      </c>
      <c r="D26">
        <v>0.19998679847015</v>
      </c>
      <c r="E26">
        <v>0.19949153711385401</v>
      </c>
      <c r="F26">
        <v>0.19958135421679099</v>
      </c>
      <c r="G26">
        <v>0.19934048344888</v>
      </c>
      <c r="H26">
        <v>0.199995821203721</v>
      </c>
      <c r="I26">
        <v>0.19978462344497999</v>
      </c>
      <c r="J26">
        <v>0.53339679381410998</v>
      </c>
      <c r="K26">
        <v>0.199856804216961</v>
      </c>
    </row>
    <row r="27" spans="1:16" x14ac:dyDescent="0.3">
      <c r="A27" t="s">
        <v>18</v>
      </c>
      <c r="B27">
        <v>-0.204513489476117</v>
      </c>
      <c r="C27">
        <v>1.3487888051340899E-3</v>
      </c>
      <c r="D27">
        <v>0.20002963520473299</v>
      </c>
      <c r="E27">
        <v>0.20114538939184901</v>
      </c>
      <c r="F27">
        <v>0.200943044089716</v>
      </c>
      <c r="G27">
        <v>0.201485692056005</v>
      </c>
      <c r="H27">
        <v>0.20000930825472901</v>
      </c>
      <c r="I27">
        <v>0.20048510710454101</v>
      </c>
      <c r="J27">
        <v>0.199856804216961</v>
      </c>
      <c r="K27">
        <v>1.2003223308242399</v>
      </c>
    </row>
    <row r="29" spans="1:16" x14ac:dyDescent="0.3">
      <c r="A29" t="s">
        <v>20</v>
      </c>
      <c r="M29" s="1" t="str">
        <f>A29</f>
        <v>Time to EDSS Increase (All RRMS)</v>
      </c>
    </row>
    <row r="31" spans="1:16" x14ac:dyDescent="0.3">
      <c r="A31" t="s">
        <v>1</v>
      </c>
    </row>
    <row r="33" spans="1:16" x14ac:dyDescent="0.3">
      <c r="A33" t="s">
        <v>2</v>
      </c>
      <c r="B33" t="s">
        <v>3</v>
      </c>
      <c r="C33" t="s">
        <v>4</v>
      </c>
      <c r="D33" t="s">
        <v>5</v>
      </c>
      <c r="E33" t="s">
        <v>6</v>
      </c>
      <c r="F33" t="s">
        <v>7</v>
      </c>
      <c r="G33" t="s">
        <v>8</v>
      </c>
    </row>
    <row r="34" spans="1:16" x14ac:dyDescent="0.3">
      <c r="A34" s="2" t="s">
        <v>9</v>
      </c>
      <c r="B34" s="2">
        <v>-2.2465457714587602</v>
      </c>
      <c r="C34">
        <v>-2.6281945750427398</v>
      </c>
      <c r="D34">
        <v>-1.86489696787478</v>
      </c>
      <c r="E34">
        <v>0.105763927091888</v>
      </c>
      <c r="F34">
        <v>7.2208712036110595E-2</v>
      </c>
      <c r="G34">
        <v>0.15491216999278901</v>
      </c>
      <c r="M34" s="1" t="str">
        <f>A34</f>
        <v>rate</v>
      </c>
      <c r="N34" s="1" cm="1">
        <f t="array" ref="N34:N35">B34:B35</f>
        <v>-2.2465457714587602</v>
      </c>
    </row>
    <row r="35" spans="1:16" x14ac:dyDescent="0.3">
      <c r="A35" s="2" t="s">
        <v>10</v>
      </c>
      <c r="B35" s="2">
        <v>-0.17323249087263201</v>
      </c>
      <c r="C35">
        <v>-0.25012120512721397</v>
      </c>
      <c r="D35">
        <v>-9.6343776618049701E-2</v>
      </c>
      <c r="E35">
        <v>0.84094208075737098</v>
      </c>
      <c r="F35">
        <v>0.77870639414374498</v>
      </c>
      <c r="G35">
        <v>0.90815176105770301</v>
      </c>
      <c r="M35" s="1" t="str">
        <f>A35</f>
        <v>BaselineWebEDSS</v>
      </c>
      <c r="N35" s="1">
        <v>-0.17323249087263201</v>
      </c>
    </row>
    <row r="36" spans="1:16" x14ac:dyDescent="0.3">
      <c r="A36" t="s">
        <v>11</v>
      </c>
      <c r="B36">
        <v>4.86158326133867E-2</v>
      </c>
      <c r="C36">
        <v>-0.67806669064922798</v>
      </c>
      <c r="D36">
        <v>0.77529835587600104</v>
      </c>
      <c r="E36">
        <v>1.0498169678207601</v>
      </c>
      <c r="F36">
        <v>0.50759738713200797</v>
      </c>
      <c r="G36">
        <v>2.1712398327175602</v>
      </c>
      <c r="M36" s="1" t="str">
        <f>A40</f>
        <v>DMTNatalizumab</v>
      </c>
      <c r="N36" s="1">
        <f>B40</f>
        <v>0.277195643357804</v>
      </c>
    </row>
    <row r="37" spans="1:16" x14ac:dyDescent="0.3">
      <c r="A37" t="s">
        <v>12</v>
      </c>
      <c r="B37">
        <v>-1.17226490159024</v>
      </c>
      <c r="C37">
        <v>-2.3476732609292501</v>
      </c>
      <c r="D37">
        <v>3.1434577487603498E-3</v>
      </c>
      <c r="E37">
        <v>0.30966478614293902</v>
      </c>
      <c r="F37">
        <v>9.5591319722472104E-2</v>
      </c>
      <c r="G37">
        <v>1.00314840359306</v>
      </c>
    </row>
    <row r="38" spans="1:16" x14ac:dyDescent="0.3">
      <c r="A38" t="s">
        <v>19</v>
      </c>
      <c r="B38">
        <v>-0.53079705072477901</v>
      </c>
      <c r="C38">
        <v>-1.04955694891536</v>
      </c>
      <c r="D38">
        <v>-1.2037152534193201E-2</v>
      </c>
      <c r="E38">
        <v>0.588136008578384</v>
      </c>
      <c r="F38">
        <v>0.350092823760913</v>
      </c>
      <c r="G38">
        <v>0.98803500417574797</v>
      </c>
    </row>
    <row r="39" spans="1:16" x14ac:dyDescent="0.3">
      <c r="A39" t="s">
        <v>14</v>
      </c>
      <c r="B39">
        <v>-0.30097697951701902</v>
      </c>
      <c r="C39">
        <v>-0.80602204805565403</v>
      </c>
      <c r="D39">
        <v>0.20406808902161699</v>
      </c>
      <c r="E39">
        <v>0.74009480989058096</v>
      </c>
      <c r="F39">
        <v>0.44663121464382899</v>
      </c>
      <c r="G39">
        <v>1.22638165374038</v>
      </c>
    </row>
    <row r="40" spans="1:16" x14ac:dyDescent="0.3">
      <c r="A40" s="2" t="s">
        <v>15</v>
      </c>
      <c r="B40" s="2">
        <v>0.277195643357804</v>
      </c>
      <c r="C40">
        <v>-0.16937077687947799</v>
      </c>
      <c r="D40">
        <v>0.72376206359508699</v>
      </c>
      <c r="E40">
        <v>1.3194244824213599</v>
      </c>
      <c r="F40">
        <v>0.84419583705261103</v>
      </c>
      <c r="G40">
        <v>2.0621766756051598</v>
      </c>
    </row>
    <row r="41" spans="1:16" x14ac:dyDescent="0.3">
      <c r="A41" t="s">
        <v>16</v>
      </c>
      <c r="B41">
        <v>0.36757332226185402</v>
      </c>
      <c r="C41">
        <v>-6.2732040475018999E-2</v>
      </c>
      <c r="D41">
        <v>0.79787868499872705</v>
      </c>
      <c r="E41">
        <v>1.4442256885415701</v>
      </c>
      <c r="F41">
        <v>0.93919510624849201</v>
      </c>
      <c r="G41">
        <v>2.2208248590378701</v>
      </c>
    </row>
    <row r="42" spans="1:16" x14ac:dyDescent="0.3">
      <c r="A42" t="s">
        <v>17</v>
      </c>
      <c r="B42">
        <v>-2.3940558657658199E-2</v>
      </c>
      <c r="C42">
        <v>-0.721105771359837</v>
      </c>
      <c r="D42">
        <v>0.67322465404452003</v>
      </c>
      <c r="E42">
        <v>0.97634374321578299</v>
      </c>
      <c r="F42">
        <v>0.486214316729705</v>
      </c>
      <c r="G42">
        <v>1.9605492313105499</v>
      </c>
    </row>
    <row r="43" spans="1:16" x14ac:dyDescent="0.3">
      <c r="A43" t="s">
        <v>18</v>
      </c>
      <c r="B43">
        <v>-0.50666322804696895</v>
      </c>
      <c r="C43">
        <v>-2.4927664987378102</v>
      </c>
      <c r="D43">
        <v>1.4794400426438701</v>
      </c>
      <c r="E43">
        <v>0.60250264231193496</v>
      </c>
      <c r="F43">
        <v>8.2680913241258897E-2</v>
      </c>
      <c r="G43">
        <v>4.39048650725009</v>
      </c>
    </row>
    <row r="45" spans="1:16" x14ac:dyDescent="0.3">
      <c r="A45" t="s">
        <v>2</v>
      </c>
      <c r="B45" t="s">
        <v>9</v>
      </c>
      <c r="C45" t="s">
        <v>10</v>
      </c>
      <c r="D45" t="s">
        <v>11</v>
      </c>
      <c r="E45" t="s">
        <v>12</v>
      </c>
      <c r="F45" t="s">
        <v>13</v>
      </c>
      <c r="G45" t="s">
        <v>14</v>
      </c>
      <c r="H45" s="2" t="s">
        <v>15</v>
      </c>
      <c r="I45" t="s">
        <v>16</v>
      </c>
      <c r="J45" t="s">
        <v>17</v>
      </c>
      <c r="K45" t="s">
        <v>18</v>
      </c>
      <c r="M45" s="1"/>
      <c r="N45" s="1" t="str">
        <f t="shared" ref="N45:O47" si="1">B45</f>
        <v>rate</v>
      </c>
      <c r="O45" s="1" t="str">
        <f t="shared" si="1"/>
        <v>BaselineWebEDSS</v>
      </c>
      <c r="P45" s="1" t="str">
        <f>H45</f>
        <v>DMTNatalizumab</v>
      </c>
    </row>
    <row r="46" spans="1:16" x14ac:dyDescent="0.3">
      <c r="A46" s="2" t="s">
        <v>9</v>
      </c>
      <c r="B46" s="2">
        <v>3.79167956955389E-2</v>
      </c>
      <c r="C46" s="2">
        <v>-4.2253473798381297E-3</v>
      </c>
      <c r="D46">
        <v>-2.5647696117219902E-2</v>
      </c>
      <c r="E46">
        <v>-2.6468733941720099E-2</v>
      </c>
      <c r="F46">
        <v>-2.4577197647243299E-2</v>
      </c>
      <c r="G46">
        <v>-2.5330911834093299E-2</v>
      </c>
      <c r="H46" s="2">
        <v>-2.2573876921446401E-2</v>
      </c>
      <c r="I46">
        <v>-2.50133157841258E-2</v>
      </c>
      <c r="J46">
        <v>-2.4759011994157601E-2</v>
      </c>
      <c r="K46">
        <v>-2.3823379515132699E-2</v>
      </c>
      <c r="M46" s="1" t="str">
        <f>A46</f>
        <v>rate</v>
      </c>
      <c r="N46" s="1">
        <f t="shared" si="1"/>
        <v>3.79167956955389E-2</v>
      </c>
      <c r="O46" s="1">
        <f t="shared" si="1"/>
        <v>-4.2253473798381297E-3</v>
      </c>
      <c r="P46" s="1">
        <f>H46</f>
        <v>-2.2573876921446401E-2</v>
      </c>
    </row>
    <row r="47" spans="1:16" x14ac:dyDescent="0.3">
      <c r="A47" s="2" t="s">
        <v>10</v>
      </c>
      <c r="B47" s="2">
        <v>-4.2253473798381297E-3</v>
      </c>
      <c r="C47" s="2">
        <v>1.5389659646682201E-3</v>
      </c>
      <c r="D47">
        <v>-2.4333293701113301E-4</v>
      </c>
      <c r="E47">
        <v>5.5707391263386802E-5</v>
      </c>
      <c r="F47">
        <v>-6.3323240856714405E-4</v>
      </c>
      <c r="G47">
        <v>-3.5871285399155002E-4</v>
      </c>
      <c r="H47" s="2">
        <v>-1.36288659701088E-3</v>
      </c>
      <c r="I47">
        <v>-4.74388434595131E-4</v>
      </c>
      <c r="J47">
        <v>-5.6701155933858703E-4</v>
      </c>
      <c r="K47">
        <v>-9.0778982233519505E-4</v>
      </c>
      <c r="M47" s="1" t="str">
        <f>A47</f>
        <v>BaselineWebEDSS</v>
      </c>
      <c r="N47" s="1">
        <f t="shared" si="1"/>
        <v>-4.2253473798381297E-3</v>
      </c>
      <c r="O47" s="1">
        <f t="shared" si="1"/>
        <v>1.5389659646682201E-3</v>
      </c>
      <c r="P47" s="1">
        <f>H47</f>
        <v>-1.36288659701088E-3</v>
      </c>
    </row>
    <row r="48" spans="1:16" x14ac:dyDescent="0.3">
      <c r="A48" t="s">
        <v>11</v>
      </c>
      <c r="B48">
        <v>-2.5647696117219902E-2</v>
      </c>
      <c r="C48">
        <v>-2.4333293701113301E-4</v>
      </c>
      <c r="D48">
        <v>0.13746535216532699</v>
      </c>
      <c r="E48">
        <v>2.6306976938263199E-2</v>
      </c>
      <c r="F48">
        <v>2.6415908356313501E-2</v>
      </c>
      <c r="G48">
        <v>2.63725028158362E-2</v>
      </c>
      <c r="H48">
        <v>2.65312773123304E-2</v>
      </c>
      <c r="I48">
        <v>2.6390792810167801E-2</v>
      </c>
      <c r="J48">
        <v>2.6405437875423699E-2</v>
      </c>
      <c r="K48">
        <v>2.6459319882893999E-2</v>
      </c>
      <c r="M48" s="1" t="str">
        <f>A52</f>
        <v>DMTNatalizumab</v>
      </c>
      <c r="N48" s="1">
        <f>B52</f>
        <v>-2.2573876921446401E-2</v>
      </c>
      <c r="O48" s="1">
        <f>C52</f>
        <v>-1.36288659701088E-3</v>
      </c>
      <c r="P48" s="1">
        <f>H52</f>
        <v>5.19129781137437E-2</v>
      </c>
    </row>
    <row r="49" spans="1:14" x14ac:dyDescent="0.3">
      <c r="A49" t="s">
        <v>12</v>
      </c>
      <c r="B49">
        <v>-2.6468733941720099E-2</v>
      </c>
      <c r="C49">
        <v>5.5707391263386802E-5</v>
      </c>
      <c r="D49">
        <v>2.6306976938263199E-2</v>
      </c>
      <c r="E49">
        <v>0.35965107936634599</v>
      </c>
      <c r="F49">
        <v>2.6292863382214302E-2</v>
      </c>
      <c r="G49">
        <v>2.63028004234463E-2</v>
      </c>
      <c r="H49">
        <v>2.6266451406717201E-2</v>
      </c>
      <c r="I49">
        <v>2.6298613206201301E-2</v>
      </c>
      <c r="J49">
        <v>2.6295260440273801E-2</v>
      </c>
      <c r="K49">
        <v>2.6282924970570901E-2</v>
      </c>
    </row>
    <row r="50" spans="1:14" x14ac:dyDescent="0.3">
      <c r="A50" t="s">
        <v>13</v>
      </c>
      <c r="B50">
        <v>-2.4577197647243299E-2</v>
      </c>
      <c r="C50">
        <v>-6.3323240856714405E-4</v>
      </c>
      <c r="D50">
        <v>2.6415908356313501E-2</v>
      </c>
      <c r="E50">
        <v>2.6292863382214302E-2</v>
      </c>
      <c r="F50">
        <v>7.0054592417075706E-2</v>
      </c>
      <c r="G50">
        <v>2.6463383287164501E-2</v>
      </c>
      <c r="H50">
        <v>2.6876566796425999E-2</v>
      </c>
      <c r="I50">
        <v>2.6510979873574699E-2</v>
      </c>
      <c r="J50">
        <v>2.6549091154601599E-2</v>
      </c>
      <c r="K50">
        <v>2.66893098762752E-2</v>
      </c>
    </row>
    <row r="51" spans="1:14" x14ac:dyDescent="0.3">
      <c r="A51" t="s">
        <v>14</v>
      </c>
      <c r="B51">
        <v>-2.5330911834093299E-2</v>
      </c>
      <c r="C51">
        <v>-3.5871285399155002E-4</v>
      </c>
      <c r="D51">
        <v>2.63725028158362E-2</v>
      </c>
      <c r="E51">
        <v>2.63028004234463E-2</v>
      </c>
      <c r="F51">
        <v>2.6463383287164501E-2</v>
      </c>
      <c r="G51">
        <v>6.6399389700891306E-2</v>
      </c>
      <c r="H51">
        <v>2.6633456142825699E-2</v>
      </c>
      <c r="I51">
        <v>2.6426358832732099E-2</v>
      </c>
      <c r="J51">
        <v>2.6447948072640799E-2</v>
      </c>
      <c r="K51">
        <v>2.6527379032197099E-2</v>
      </c>
    </row>
    <row r="52" spans="1:14" x14ac:dyDescent="0.3">
      <c r="A52" s="2" t="s">
        <v>15</v>
      </c>
      <c r="B52" s="2">
        <v>-2.2573876921446401E-2</v>
      </c>
      <c r="C52" s="2">
        <v>-1.36288659701088E-3</v>
      </c>
      <c r="D52">
        <v>2.65312773123304E-2</v>
      </c>
      <c r="E52">
        <v>2.6266451406717201E-2</v>
      </c>
      <c r="F52">
        <v>2.6876566796425999E-2</v>
      </c>
      <c r="G52">
        <v>2.6633456142825699E-2</v>
      </c>
      <c r="H52" s="2">
        <v>5.19129781137437E-2</v>
      </c>
      <c r="I52">
        <v>2.67358968088489E-2</v>
      </c>
      <c r="J52">
        <v>2.6817922544430099E-2</v>
      </c>
      <c r="K52">
        <v>2.7119710977607701E-2</v>
      </c>
    </row>
    <row r="53" spans="1:14" x14ac:dyDescent="0.3">
      <c r="A53" t="s">
        <v>16</v>
      </c>
      <c r="B53">
        <v>-2.50133157841258E-2</v>
      </c>
      <c r="C53">
        <v>-4.74388434595131E-4</v>
      </c>
      <c r="D53">
        <v>2.6390792810167801E-2</v>
      </c>
      <c r="E53">
        <v>2.6298613206201301E-2</v>
      </c>
      <c r="F53">
        <v>2.6510979873574699E-2</v>
      </c>
      <c r="G53">
        <v>2.6426358832732099E-2</v>
      </c>
      <c r="H53">
        <v>2.67358968088489E-2</v>
      </c>
      <c r="I53">
        <v>4.8201142806121297E-2</v>
      </c>
      <c r="J53">
        <v>2.6490567203175899E-2</v>
      </c>
      <c r="K53">
        <v>2.6595612584580298E-2</v>
      </c>
    </row>
    <row r="54" spans="1:14" x14ac:dyDescent="0.3">
      <c r="A54" t="s">
        <v>17</v>
      </c>
      <c r="B54">
        <v>-2.4759011994157601E-2</v>
      </c>
      <c r="C54">
        <v>-5.6701155933858703E-4</v>
      </c>
      <c r="D54">
        <v>2.6405437875423699E-2</v>
      </c>
      <c r="E54">
        <v>2.6295260440273801E-2</v>
      </c>
      <c r="F54">
        <v>2.6549091154601599E-2</v>
      </c>
      <c r="G54">
        <v>2.6447948072640799E-2</v>
      </c>
      <c r="H54">
        <v>2.6817922544430099E-2</v>
      </c>
      <c r="I54">
        <v>2.6490567203175899E-2</v>
      </c>
      <c r="J54">
        <v>0.12652467629843001</v>
      </c>
      <c r="K54">
        <v>2.6650248185292401E-2</v>
      </c>
    </row>
    <row r="55" spans="1:14" x14ac:dyDescent="0.3">
      <c r="A55" t="s">
        <v>18</v>
      </c>
      <c r="B55">
        <v>-2.3823379515132699E-2</v>
      </c>
      <c r="C55">
        <v>-9.0778982233519505E-4</v>
      </c>
      <c r="D55">
        <v>2.6459319882893999E-2</v>
      </c>
      <c r="E55">
        <v>2.6282924970570901E-2</v>
      </c>
      <c r="F55">
        <v>2.66893098762752E-2</v>
      </c>
      <c r="G55">
        <v>2.6527379032197099E-2</v>
      </c>
      <c r="H55">
        <v>2.7119710977607701E-2</v>
      </c>
      <c r="I55">
        <v>2.6595612584580298E-2</v>
      </c>
      <c r="J55">
        <v>2.6650248185292401E-2</v>
      </c>
      <c r="K55">
        <v>1.02685109641136</v>
      </c>
    </row>
    <row r="57" spans="1:14" x14ac:dyDescent="0.3">
      <c r="A57" t="s">
        <v>25</v>
      </c>
      <c r="M57" s="1" t="str">
        <f>A57</f>
        <v>Time to Relapse (RRMS Highly Active)</v>
      </c>
    </row>
    <row r="59" spans="1:14" x14ac:dyDescent="0.3">
      <c r="A59" t="s">
        <v>1</v>
      </c>
    </row>
    <row r="61" spans="1:14" x14ac:dyDescent="0.3">
      <c r="A61" t="s">
        <v>2</v>
      </c>
      <c r="B61" t="s">
        <v>3</v>
      </c>
      <c r="C61" t="s">
        <v>4</v>
      </c>
      <c r="D61" t="s">
        <v>5</v>
      </c>
      <c r="E61" t="s">
        <v>6</v>
      </c>
      <c r="F61" t="s">
        <v>7</v>
      </c>
      <c r="G61" t="s">
        <v>8</v>
      </c>
    </row>
    <row r="62" spans="1:14" x14ac:dyDescent="0.3">
      <c r="A62" s="2" t="s">
        <v>9</v>
      </c>
      <c r="B62" s="2">
        <v>-2.1268696212037401</v>
      </c>
      <c r="C62">
        <v>-2.9491855865794099</v>
      </c>
      <c r="D62">
        <v>-1.3045536558280699</v>
      </c>
      <c r="E62">
        <v>0.119209882464778</v>
      </c>
      <c r="F62">
        <v>5.2382349469757498E-2</v>
      </c>
      <c r="G62">
        <v>0.271293598342144</v>
      </c>
      <c r="M62" s="1" t="str">
        <f>A62</f>
        <v>rate</v>
      </c>
      <c r="N62" s="1" cm="1">
        <f t="array" ref="N62:N63">B62:B63</f>
        <v>-2.1268696212037401</v>
      </c>
    </row>
    <row r="63" spans="1:14" x14ac:dyDescent="0.3">
      <c r="A63" s="2" t="s">
        <v>10</v>
      </c>
      <c r="B63" s="2">
        <v>-1.90135464233178E-2</v>
      </c>
      <c r="C63">
        <v>-0.20349255273681299</v>
      </c>
      <c r="D63">
        <v>0.165465459890178</v>
      </c>
      <c r="E63">
        <v>0.98116607086184005</v>
      </c>
      <c r="F63">
        <v>0.81587628034543602</v>
      </c>
      <c r="G63">
        <v>1.1799422066822001</v>
      </c>
      <c r="M63" s="1" t="str">
        <f>A63</f>
        <v>BaselineWebEDSS</v>
      </c>
      <c r="N63" s="1">
        <v>-1.90135464233178E-2</v>
      </c>
    </row>
    <row r="64" spans="1:14" x14ac:dyDescent="0.3">
      <c r="A64" t="s">
        <v>11</v>
      </c>
      <c r="B64">
        <v>2.4817628297875299E-2</v>
      </c>
      <c r="C64">
        <v>-2.0748890588793998</v>
      </c>
      <c r="D64">
        <v>2.1245243154751501</v>
      </c>
      <c r="E64">
        <v>1.0251281491103501</v>
      </c>
      <c r="F64">
        <v>0.12557035763666</v>
      </c>
      <c r="G64">
        <v>8.36891557750576</v>
      </c>
      <c r="M64" s="1" t="str">
        <f>A68</f>
        <v>DMTNatalizumab</v>
      </c>
      <c r="N64" s="1">
        <f>B68</f>
        <v>-0.744813173325933</v>
      </c>
    </row>
    <row r="65" spans="1:16" x14ac:dyDescent="0.3">
      <c r="A65" t="s">
        <v>12</v>
      </c>
      <c r="B65">
        <v>-0.79065500574890302</v>
      </c>
      <c r="C65">
        <v>-2.8724556020946701</v>
      </c>
      <c r="D65">
        <v>1.2911455905968601</v>
      </c>
      <c r="E65">
        <v>0.45354762166817397</v>
      </c>
      <c r="F65">
        <v>5.6559867383875501E-2</v>
      </c>
      <c r="G65">
        <v>3.6369506265762701</v>
      </c>
    </row>
    <row r="66" spans="1:16" x14ac:dyDescent="0.3">
      <c r="A66" t="s">
        <v>19</v>
      </c>
      <c r="B66">
        <v>-0.21150265079005601</v>
      </c>
      <c r="C66">
        <v>-1.1047000864641801</v>
      </c>
      <c r="D66">
        <v>0.68169478488406399</v>
      </c>
      <c r="E66">
        <v>0.80936713558752704</v>
      </c>
      <c r="F66">
        <v>0.33131023176616597</v>
      </c>
      <c r="G66">
        <v>1.9772258667565099</v>
      </c>
    </row>
    <row r="67" spans="1:16" x14ac:dyDescent="0.3">
      <c r="A67" t="s">
        <v>14</v>
      </c>
      <c r="B67">
        <v>-0.52288007210759602</v>
      </c>
      <c r="C67">
        <v>-1.49324787374152</v>
      </c>
      <c r="D67">
        <v>0.44748772952632798</v>
      </c>
      <c r="E67">
        <v>0.59281074927622801</v>
      </c>
      <c r="F67">
        <v>0.224641861016037</v>
      </c>
      <c r="G67">
        <v>1.5643771061545599</v>
      </c>
    </row>
    <row r="68" spans="1:16" x14ac:dyDescent="0.3">
      <c r="A68" s="2" t="s">
        <v>15</v>
      </c>
      <c r="B68" s="2">
        <v>-0.744813173325933</v>
      </c>
      <c r="C68">
        <v>-1.9185474399837701</v>
      </c>
      <c r="D68">
        <v>0.42892109333190198</v>
      </c>
      <c r="E68">
        <v>0.47482300125586302</v>
      </c>
      <c r="F68">
        <v>0.14682007228181401</v>
      </c>
      <c r="G68">
        <v>1.53559986054817</v>
      </c>
    </row>
    <row r="69" spans="1:16" x14ac:dyDescent="0.3">
      <c r="A69" t="s">
        <v>16</v>
      </c>
      <c r="B69">
        <v>-0.17484729609010699</v>
      </c>
      <c r="C69">
        <v>-1.3982530411459899</v>
      </c>
      <c r="D69">
        <v>1.04855844896578</v>
      </c>
      <c r="E69">
        <v>0.83958521892639604</v>
      </c>
      <c r="F69">
        <v>0.24702813520070299</v>
      </c>
      <c r="G69">
        <v>2.85353463591089</v>
      </c>
    </row>
    <row r="70" spans="1:16" x14ac:dyDescent="0.3">
      <c r="A70" t="s">
        <v>17</v>
      </c>
      <c r="B70">
        <v>-1.0282352320047301</v>
      </c>
      <c r="C70">
        <v>-3.11003582835027</v>
      </c>
      <c r="D70">
        <v>1.0535653643408001</v>
      </c>
      <c r="E70">
        <v>0.35763755128674501</v>
      </c>
      <c r="F70">
        <v>4.4599357390250498E-2</v>
      </c>
      <c r="G70">
        <v>2.8678578700405102</v>
      </c>
    </row>
    <row r="71" spans="1:16" x14ac:dyDescent="0.3">
      <c r="A71" t="s">
        <v>18</v>
      </c>
      <c r="B71">
        <v>-0.38086268576313997</v>
      </c>
      <c r="C71">
        <v>-2.46102725829344</v>
      </c>
      <c r="D71">
        <v>1.6993018867671601</v>
      </c>
      <c r="E71">
        <v>0.68327170611147503</v>
      </c>
      <c r="F71">
        <v>8.5347232267984893E-2</v>
      </c>
      <c r="G71">
        <v>5.4701272902040303</v>
      </c>
    </row>
    <row r="73" spans="1:16" x14ac:dyDescent="0.3">
      <c r="A73" t="s">
        <v>2</v>
      </c>
      <c r="B73" t="s">
        <v>9</v>
      </c>
      <c r="C73" t="s">
        <v>10</v>
      </c>
      <c r="D73" t="s">
        <v>11</v>
      </c>
      <c r="E73" t="s">
        <v>12</v>
      </c>
      <c r="F73" t="s">
        <v>13</v>
      </c>
      <c r="G73" t="s">
        <v>14</v>
      </c>
      <c r="H73" s="2" t="s">
        <v>15</v>
      </c>
      <c r="I73" t="s">
        <v>16</v>
      </c>
      <c r="J73" t="s">
        <v>17</v>
      </c>
      <c r="K73" t="s">
        <v>18</v>
      </c>
      <c r="M73" s="1"/>
      <c r="N73" s="1" t="str">
        <f t="shared" ref="N73:N75" si="2">B73</f>
        <v>rate</v>
      </c>
      <c r="O73" s="1" t="str">
        <f t="shared" ref="O73:O75" si="3">C73</f>
        <v>BaselineWebEDSS</v>
      </c>
      <c r="P73" s="1" t="str">
        <f>H73</f>
        <v>DMTNatalizumab</v>
      </c>
    </row>
    <row r="74" spans="1:16" x14ac:dyDescent="0.3">
      <c r="A74" s="2" t="s">
        <v>9</v>
      </c>
      <c r="B74" s="2">
        <v>0.17602780049833699</v>
      </c>
      <c r="C74" s="2">
        <v>-2.12619147615963E-2</v>
      </c>
      <c r="D74">
        <v>-9.0980035142296897E-2</v>
      </c>
      <c r="E74">
        <v>-0.11224201368970101</v>
      </c>
      <c r="F74">
        <v>-0.10785750359821</v>
      </c>
      <c r="G74">
        <v>-0.103560684864971</v>
      </c>
      <c r="H74" s="2">
        <v>-5.6942596881950303E-2</v>
      </c>
      <c r="I74">
        <v>-9.7683407861615501E-2</v>
      </c>
      <c r="J74">
        <v>-0.112242013689692</v>
      </c>
      <c r="K74">
        <v>-0.13350396034418099</v>
      </c>
      <c r="M74" s="1" t="str">
        <f>A74</f>
        <v>rate</v>
      </c>
      <c r="N74" s="1">
        <f t="shared" si="2"/>
        <v>0.17602780049833699</v>
      </c>
      <c r="O74" s="1">
        <f t="shared" si="3"/>
        <v>-2.12619147615963E-2</v>
      </c>
      <c r="P74" s="1">
        <f>H74</f>
        <v>-5.6942596881950303E-2</v>
      </c>
    </row>
    <row r="75" spans="1:16" x14ac:dyDescent="0.3">
      <c r="A75" s="2" t="s">
        <v>10</v>
      </c>
      <c r="B75" s="2">
        <v>-2.12619147615963E-2</v>
      </c>
      <c r="C75" s="2">
        <v>8.8592655444020302E-3</v>
      </c>
      <c r="D75">
        <v>-1.4175191712370101E-2</v>
      </c>
      <c r="E75">
        <v>-5.3158995901478401E-3</v>
      </c>
      <c r="F75">
        <v>-7.1428065088387097E-3</v>
      </c>
      <c r="G75">
        <v>-8.9331748073067808E-3</v>
      </c>
      <c r="H75" s="2">
        <v>-2.8357672800304001E-2</v>
      </c>
      <c r="I75">
        <v>-1.1382077374862199E-2</v>
      </c>
      <c r="J75">
        <v>-5.3158995901459501E-3</v>
      </c>
      <c r="K75">
        <v>3.54337924315679E-3</v>
      </c>
      <c r="M75" s="1" t="str">
        <f>A75</f>
        <v>BaselineWebEDSS</v>
      </c>
      <c r="N75" s="1">
        <f t="shared" si="2"/>
        <v>-2.12619147615963E-2</v>
      </c>
      <c r="O75" s="1">
        <f t="shared" si="3"/>
        <v>8.8592655444020302E-3</v>
      </c>
      <c r="P75" s="1">
        <f>H75</f>
        <v>-2.8357672800304001E-2</v>
      </c>
    </row>
    <row r="76" spans="1:16" x14ac:dyDescent="0.3">
      <c r="A76" t="s">
        <v>11</v>
      </c>
      <c r="B76">
        <v>-9.0980035142296897E-2</v>
      </c>
      <c r="C76">
        <v>-1.4175191712370101E-2</v>
      </c>
      <c r="D76">
        <v>1.14768070620118</v>
      </c>
      <c r="E76">
        <v>0.133505638629803</v>
      </c>
      <c r="F76">
        <v>0.136428765347617</v>
      </c>
      <c r="G76">
        <v>0.13929342876009701</v>
      </c>
      <c r="H76">
        <v>0.17037342987162399</v>
      </c>
      <c r="I76">
        <v>0.14321177427148599</v>
      </c>
      <c r="J76">
        <v>0.13350563862978601</v>
      </c>
      <c r="K76">
        <v>0.119330425654638</v>
      </c>
      <c r="M76" s="1" t="str">
        <f>A80</f>
        <v>DMTNatalizumab</v>
      </c>
      <c r="N76" s="1">
        <f>B80</f>
        <v>-5.6942596881950303E-2</v>
      </c>
      <c r="O76" s="1">
        <f>C80</f>
        <v>-2.8357672800304001E-2</v>
      </c>
      <c r="P76" s="1">
        <f>H80</f>
        <v>0.35862733222736298</v>
      </c>
    </row>
    <row r="77" spans="1:16" x14ac:dyDescent="0.3">
      <c r="A77" t="s">
        <v>12</v>
      </c>
      <c r="B77">
        <v>-0.11224201368970101</v>
      </c>
      <c r="C77">
        <v>-5.3158995901478401E-3</v>
      </c>
      <c r="D77">
        <v>0.133505638629803</v>
      </c>
      <c r="E77">
        <v>1.12818955642546</v>
      </c>
      <c r="F77">
        <v>0.129285937410346</v>
      </c>
      <c r="G77">
        <v>0.13036022715324899</v>
      </c>
      <c r="H77">
        <v>0.14201567199823201</v>
      </c>
      <c r="I77">
        <v>0.131829662750368</v>
      </c>
      <c r="J77">
        <v>0.12818972309193399</v>
      </c>
      <c r="K77">
        <v>0.122873815527949</v>
      </c>
    </row>
    <row r="78" spans="1:16" x14ac:dyDescent="0.3">
      <c r="A78" t="s">
        <v>13</v>
      </c>
      <c r="B78">
        <v>-0.10785750359821</v>
      </c>
      <c r="C78">
        <v>-7.1428065088387097E-3</v>
      </c>
      <c r="D78">
        <v>0.136428765347617</v>
      </c>
      <c r="E78">
        <v>0.129285937410346</v>
      </c>
      <c r="F78">
        <v>0.20768195009589299</v>
      </c>
      <c r="G78">
        <v>0.132202375216144</v>
      </c>
      <c r="H78">
        <v>0.14786342860707899</v>
      </c>
      <c r="I78">
        <v>0.134176809452421</v>
      </c>
      <c r="J78">
        <v>0.12928593741033101</v>
      </c>
      <c r="K78">
        <v>0.12214312018729399</v>
      </c>
    </row>
    <row r="79" spans="1:16" x14ac:dyDescent="0.3">
      <c r="A79" t="s">
        <v>14</v>
      </c>
      <c r="B79">
        <v>-0.103560684864971</v>
      </c>
      <c r="C79">
        <v>-8.9331748073067808E-3</v>
      </c>
      <c r="D79">
        <v>0.13929342876009701</v>
      </c>
      <c r="E79">
        <v>0.13036022715324899</v>
      </c>
      <c r="F79">
        <v>0.132202375216144</v>
      </c>
      <c r="G79">
        <v>0.24511877242451199</v>
      </c>
      <c r="H79">
        <v>0.15359422854139501</v>
      </c>
      <c r="I79">
        <v>0.13647701260137199</v>
      </c>
      <c r="J79">
        <v>0.130360227153233</v>
      </c>
      <c r="K79">
        <v>0.121427038946175</v>
      </c>
    </row>
    <row r="80" spans="1:16" x14ac:dyDescent="0.3">
      <c r="A80" s="2" t="s">
        <v>15</v>
      </c>
      <c r="B80" s="2">
        <v>-5.6942596881950303E-2</v>
      </c>
      <c r="C80" s="2">
        <v>-2.8357672800304001E-2</v>
      </c>
      <c r="D80">
        <v>0.17037342987162399</v>
      </c>
      <c r="E80">
        <v>0.14201567199823201</v>
      </c>
      <c r="F80">
        <v>0.14786342860707899</v>
      </c>
      <c r="G80">
        <v>0.15359422854139501</v>
      </c>
      <c r="H80" s="2">
        <v>0.35862733222736298</v>
      </c>
      <c r="I80">
        <v>0.16143293451342</v>
      </c>
      <c r="J80">
        <v>0.142015671998212</v>
      </c>
      <c r="K80">
        <v>0.11365795666140401</v>
      </c>
    </row>
    <row r="81" spans="1:14" x14ac:dyDescent="0.3">
      <c r="A81" t="s">
        <v>16</v>
      </c>
      <c r="B81">
        <v>-9.7683407861615501E-2</v>
      </c>
      <c r="C81">
        <v>-1.1382077374862199E-2</v>
      </c>
      <c r="D81">
        <v>0.14321177427148599</v>
      </c>
      <c r="E81">
        <v>0.131829662750368</v>
      </c>
      <c r="F81">
        <v>0.134176809452421</v>
      </c>
      <c r="G81">
        <v>0.13647701260137199</v>
      </c>
      <c r="H81">
        <v>0.16143293451342</v>
      </c>
      <c r="I81">
        <v>0.38962323609271499</v>
      </c>
      <c r="J81">
        <v>0.13182966275035099</v>
      </c>
      <c r="K81">
        <v>0.120447568302383</v>
      </c>
    </row>
    <row r="82" spans="1:14" x14ac:dyDescent="0.3">
      <c r="A82" t="s">
        <v>17</v>
      </c>
      <c r="B82">
        <v>-0.112242013689692</v>
      </c>
      <c r="C82">
        <v>-5.3158995901459501E-3</v>
      </c>
      <c r="D82">
        <v>0.13350563862978601</v>
      </c>
      <c r="E82">
        <v>0.12818972309193399</v>
      </c>
      <c r="F82">
        <v>0.12928593741033101</v>
      </c>
      <c r="G82">
        <v>0.130360227153233</v>
      </c>
      <c r="H82">
        <v>0.142015671998212</v>
      </c>
      <c r="I82">
        <v>0.13182966275035099</v>
      </c>
      <c r="J82">
        <v>1.12818955642521</v>
      </c>
      <c r="K82">
        <v>0.122873815527936</v>
      </c>
    </row>
    <row r="83" spans="1:14" x14ac:dyDescent="0.3">
      <c r="A83" t="s">
        <v>18</v>
      </c>
      <c r="B83">
        <v>-0.13350396034418099</v>
      </c>
      <c r="C83">
        <v>3.54337924315679E-3</v>
      </c>
      <c r="D83">
        <v>0.119330425654638</v>
      </c>
      <c r="E83">
        <v>0.122873815527949</v>
      </c>
      <c r="F83">
        <v>0.12214312018729399</v>
      </c>
      <c r="G83">
        <v>0.121427038946175</v>
      </c>
      <c r="H83">
        <v>0.11365795666140401</v>
      </c>
      <c r="I83">
        <v>0.120447568302383</v>
      </c>
      <c r="J83">
        <v>0.122873815527936</v>
      </c>
      <c r="K83">
        <v>1.1264170334196899</v>
      </c>
    </row>
    <row r="85" spans="1:14" x14ac:dyDescent="0.3">
      <c r="A85" t="s">
        <v>26</v>
      </c>
    </row>
    <row r="87" spans="1:14" x14ac:dyDescent="0.3">
      <c r="A87" t="s">
        <v>1</v>
      </c>
    </row>
    <row r="89" spans="1:14" x14ac:dyDescent="0.3">
      <c r="A89" s="1" t="s">
        <v>2</v>
      </c>
      <c r="B89" s="1" t="s">
        <v>3</v>
      </c>
      <c r="C89" t="s">
        <v>4</v>
      </c>
      <c r="D89" t="s">
        <v>5</v>
      </c>
      <c r="E89" t="s">
        <v>6</v>
      </c>
      <c r="F89" t="s">
        <v>7</v>
      </c>
      <c r="G89" t="s">
        <v>8</v>
      </c>
      <c r="M89" s="1" t="str">
        <f>A89</f>
        <v/>
      </c>
      <c r="N89" s="1" t="str">
        <f>B89</f>
        <v>Coefficient</v>
      </c>
    </row>
    <row r="90" spans="1:14" x14ac:dyDescent="0.3">
      <c r="A90" s="1" t="s">
        <v>9</v>
      </c>
      <c r="B90" s="1">
        <v>-2.63197834452393</v>
      </c>
      <c r="C90">
        <v>-3.0836388330097901</v>
      </c>
      <c r="D90">
        <v>-2.1803178560380698</v>
      </c>
      <c r="E90">
        <v>7.1936007166770594E-2</v>
      </c>
      <c r="F90">
        <v>4.5792322495797198E-2</v>
      </c>
      <c r="G90">
        <v>0.11300560541721</v>
      </c>
      <c r="M90" s="1" t="str">
        <f>A90</f>
        <v>rate</v>
      </c>
      <c r="N90" s="1">
        <f>B90</f>
        <v>-2.63197834452393</v>
      </c>
    </row>
    <row r="91" spans="1:14" x14ac:dyDescent="0.3">
      <c r="A91" s="1" t="s">
        <v>10</v>
      </c>
      <c r="B91" s="1">
        <v>-7.4184854323716604E-2</v>
      </c>
      <c r="C91">
        <v>-0.15988607481905801</v>
      </c>
      <c r="D91">
        <v>1.1516366171625299E-2</v>
      </c>
      <c r="E91">
        <v>0.92850004072926595</v>
      </c>
      <c r="F91">
        <v>0.85224087513173197</v>
      </c>
      <c r="G91">
        <v>1.0115829348140499</v>
      </c>
      <c r="M91" s="1" t="str">
        <f>A91</f>
        <v>BaselineWebEDSS</v>
      </c>
      <c r="N91" s="1">
        <f>B91</f>
        <v>-7.4184854323716604E-2</v>
      </c>
    </row>
    <row r="92" spans="1:14" x14ac:dyDescent="0.3">
      <c r="A92" t="s">
        <v>11</v>
      </c>
      <c r="B92">
        <v>0.175373473808419</v>
      </c>
      <c r="C92">
        <v>-0.58219147144005901</v>
      </c>
      <c r="D92">
        <v>0.93293841905689801</v>
      </c>
      <c r="E92">
        <v>1.1916911989631001</v>
      </c>
      <c r="F92">
        <v>0.55867270877328501</v>
      </c>
      <c r="G92">
        <v>2.5419675802749899</v>
      </c>
      <c r="M92" s="1" t="str">
        <f>A96</f>
        <v>DMTNatalizumab</v>
      </c>
      <c r="N92" s="1">
        <f>B96</f>
        <v>0.40164546343526503</v>
      </c>
    </row>
    <row r="93" spans="1:14" x14ac:dyDescent="0.3">
      <c r="A93" t="s">
        <v>12</v>
      </c>
      <c r="B93">
        <v>0.36658961278522201</v>
      </c>
      <c r="C93">
        <v>-1.05394093411039</v>
      </c>
      <c r="D93">
        <v>1.7871201596808299</v>
      </c>
      <c r="E93">
        <v>1.4428056885935601</v>
      </c>
      <c r="F93">
        <v>0.348561381367825</v>
      </c>
      <c r="G93">
        <v>5.9722286125588102</v>
      </c>
    </row>
    <row r="94" spans="1:14" x14ac:dyDescent="0.3">
      <c r="A94" t="s">
        <v>19</v>
      </c>
      <c r="B94">
        <v>0.13026657783514201</v>
      </c>
      <c r="C94">
        <v>-0.33711027117727599</v>
      </c>
      <c r="D94">
        <v>0.597643426847561</v>
      </c>
      <c r="E94">
        <v>1.1391320101979501</v>
      </c>
      <c r="F94">
        <v>0.71383012067478702</v>
      </c>
      <c r="G94">
        <v>1.8178298996839299</v>
      </c>
    </row>
    <row r="95" spans="1:14" x14ac:dyDescent="0.3">
      <c r="A95" t="s">
        <v>14</v>
      </c>
      <c r="B95">
        <v>4.2111414658232399E-2</v>
      </c>
      <c r="C95">
        <v>-0.39355392815583001</v>
      </c>
      <c r="D95">
        <v>0.47777675747229498</v>
      </c>
      <c r="E95">
        <v>1.04301067895577</v>
      </c>
      <c r="F95">
        <v>0.67465493369942697</v>
      </c>
      <c r="G95">
        <v>1.6124854678680001</v>
      </c>
    </row>
    <row r="96" spans="1:14" x14ac:dyDescent="0.3">
      <c r="A96" s="1" t="s">
        <v>15</v>
      </c>
      <c r="B96" s="1">
        <v>0.40164546343526503</v>
      </c>
      <c r="C96">
        <v>-9.7284176894553501E-2</v>
      </c>
      <c r="D96">
        <v>0.90057510376508298</v>
      </c>
      <c r="E96">
        <v>1.4942814613361599</v>
      </c>
      <c r="F96">
        <v>0.90729813632787204</v>
      </c>
      <c r="G96">
        <v>2.4610180449946801</v>
      </c>
    </row>
    <row r="97" spans="1:16" x14ac:dyDescent="0.3">
      <c r="A97" t="s">
        <v>16</v>
      </c>
      <c r="B97">
        <v>0.28580408272837698</v>
      </c>
      <c r="C97">
        <v>-0.35963303244864703</v>
      </c>
      <c r="D97">
        <v>0.93124119790540205</v>
      </c>
      <c r="E97">
        <v>1.3308316967945599</v>
      </c>
      <c r="F97">
        <v>0.697932397626148</v>
      </c>
      <c r="G97">
        <v>2.5376569582055599</v>
      </c>
    </row>
    <row r="98" spans="1:16" x14ac:dyDescent="0.3">
      <c r="A98" t="s">
        <v>17</v>
      </c>
      <c r="B98">
        <v>-0.102274195312432</v>
      </c>
      <c r="C98">
        <v>-1.5254862426489799</v>
      </c>
      <c r="D98">
        <v>1.32093785202412</v>
      </c>
      <c r="E98">
        <v>0.90278197914198599</v>
      </c>
      <c r="F98">
        <v>0.21751526594818099</v>
      </c>
      <c r="G98">
        <v>3.7469337993853</v>
      </c>
    </row>
    <row r="99" spans="1:16" x14ac:dyDescent="0.3">
      <c r="A99" t="s">
        <v>18</v>
      </c>
      <c r="B99">
        <v>0.23458864468600299</v>
      </c>
      <c r="C99">
        <v>-1.75563298775118</v>
      </c>
      <c r="D99">
        <v>2.2248102771231801</v>
      </c>
      <c r="E99">
        <v>1.26438854879411</v>
      </c>
      <c r="F99">
        <v>0.17279782875762301</v>
      </c>
      <c r="G99">
        <v>9.2517273730567293</v>
      </c>
    </row>
    <row r="101" spans="1:16" x14ac:dyDescent="0.3">
      <c r="A101" s="1" t="s">
        <v>2</v>
      </c>
      <c r="B101" s="1" t="s">
        <v>9</v>
      </c>
      <c r="C101" s="1" t="s">
        <v>10</v>
      </c>
      <c r="D101" t="s">
        <v>11</v>
      </c>
      <c r="E101" t="s">
        <v>12</v>
      </c>
      <c r="F101" t="s">
        <v>13</v>
      </c>
      <c r="G101" t="s">
        <v>14</v>
      </c>
      <c r="H101" s="1" t="s">
        <v>15</v>
      </c>
      <c r="I101" t="s">
        <v>16</v>
      </c>
      <c r="J101" t="s">
        <v>17</v>
      </c>
      <c r="K101" t="s">
        <v>18</v>
      </c>
      <c r="M101" s="1" t="str">
        <f>A101</f>
        <v/>
      </c>
      <c r="N101" s="1" t="str">
        <f t="shared" ref="N101:O104" si="4">B101</f>
        <v>rate</v>
      </c>
      <c r="O101" s="1" t="str">
        <f t="shared" si="4"/>
        <v>BaselineWebEDSS</v>
      </c>
      <c r="P101" s="1" t="str">
        <f>H101</f>
        <v>DMTNatalizumab</v>
      </c>
    </row>
    <row r="102" spans="1:16" x14ac:dyDescent="0.3">
      <c r="A102" s="1" t="s">
        <v>9</v>
      </c>
      <c r="B102" s="1">
        <v>5.3104095704564397E-2</v>
      </c>
      <c r="C102" s="1">
        <v>-7.4094278190005103E-3</v>
      </c>
      <c r="D102">
        <v>-2.4849870040290802E-2</v>
      </c>
      <c r="E102">
        <v>-2.9493236777547199E-2</v>
      </c>
      <c r="F102">
        <v>-2.19009414171491E-2</v>
      </c>
      <c r="G102">
        <v>-2.51326183736202E-2</v>
      </c>
      <c r="H102" s="1">
        <v>-1.69087355349955E-2</v>
      </c>
      <c r="I102">
        <v>-1.98371368162602E-2</v>
      </c>
      <c r="J102">
        <v>-3.3502819974741298E-2</v>
      </c>
      <c r="K102">
        <v>-3.8285236361827998E-2</v>
      </c>
      <c r="M102" s="1" t="str">
        <f t="shared" ref="M102:M104" si="5">A102</f>
        <v>rate</v>
      </c>
      <c r="N102" s="1">
        <f t="shared" si="4"/>
        <v>5.3104095704564397E-2</v>
      </c>
      <c r="O102" s="1">
        <f t="shared" si="4"/>
        <v>-7.4094278190005103E-3</v>
      </c>
      <c r="P102" s="1">
        <f t="shared" ref="P102:P103" si="6">H102</f>
        <v>-1.69087355349955E-2</v>
      </c>
    </row>
    <row r="103" spans="1:16" x14ac:dyDescent="0.3">
      <c r="A103" s="1" t="s">
        <v>10</v>
      </c>
      <c r="B103" s="1">
        <v>-7.4094278190005103E-3</v>
      </c>
      <c r="C103" s="1">
        <v>1.9119557275545801E-3</v>
      </c>
      <c r="D103">
        <v>1.1860457244829601E-4</v>
      </c>
      <c r="E103">
        <v>1.31679582895383E-3</v>
      </c>
      <c r="F103">
        <v>-6.4234770469137105E-4</v>
      </c>
      <c r="G103">
        <v>1.91565981691691E-4</v>
      </c>
      <c r="H103" s="1">
        <v>-1.9305546840531699E-3</v>
      </c>
      <c r="I103">
        <v>-1.1748993569392901E-3</v>
      </c>
      <c r="J103">
        <v>2.3514432735665799E-3</v>
      </c>
      <c r="K103">
        <v>3.58551540791071E-3</v>
      </c>
      <c r="M103" s="1" t="str">
        <f t="shared" si="5"/>
        <v>BaselineWebEDSS</v>
      </c>
      <c r="N103" s="1">
        <f t="shared" si="4"/>
        <v>-7.4094278190005103E-3</v>
      </c>
      <c r="O103" s="1">
        <f t="shared" si="4"/>
        <v>1.9119557275545801E-3</v>
      </c>
      <c r="P103" s="1">
        <f t="shared" si="6"/>
        <v>-1.9305546840531699E-3</v>
      </c>
    </row>
    <row r="104" spans="1:16" x14ac:dyDescent="0.3">
      <c r="A104" t="s">
        <v>11</v>
      </c>
      <c r="B104">
        <v>-2.4849870040290802E-2</v>
      </c>
      <c r="C104">
        <v>1.1860457244829601E-4</v>
      </c>
      <c r="D104">
        <v>0.14939757864321701</v>
      </c>
      <c r="E104">
        <v>2.44719250900713E-2</v>
      </c>
      <c r="F104">
        <v>2.43503933109534E-2</v>
      </c>
      <c r="G104">
        <v>2.44021235758363E-2</v>
      </c>
      <c r="H104">
        <v>2.4270481817286901E-2</v>
      </c>
      <c r="I104">
        <v>2.4317357472249598E-2</v>
      </c>
      <c r="J104">
        <v>2.4536107495577799E-2</v>
      </c>
      <c r="K104">
        <v>2.46126608360837E-2</v>
      </c>
      <c r="M104" s="1" t="str">
        <f>A108</f>
        <v>DMTNatalizumab</v>
      </c>
      <c r="N104" s="1">
        <f t="shared" ref="N104:O104" si="7">B108</f>
        <v>-1.69087355349955E-2</v>
      </c>
      <c r="O104" s="1">
        <f t="shared" si="7"/>
        <v>-1.9305546840531699E-3</v>
      </c>
      <c r="P104" s="1">
        <f>H108</f>
        <v>6.4801107500785798E-2</v>
      </c>
    </row>
    <row r="105" spans="1:16" x14ac:dyDescent="0.3">
      <c r="A105" t="s">
        <v>12</v>
      </c>
      <c r="B105">
        <v>-2.9493236777547199E-2</v>
      </c>
      <c r="C105">
        <v>1.31679582895383E-3</v>
      </c>
      <c r="D105">
        <v>2.44719250900713E-2</v>
      </c>
      <c r="E105">
        <v>0.52529706261407005</v>
      </c>
      <c r="F105">
        <v>2.39478445529934E-2</v>
      </c>
      <c r="G105">
        <v>2.4522174830682499E-2</v>
      </c>
      <c r="H105">
        <v>2.3060634900171701E-2</v>
      </c>
      <c r="I105">
        <v>2.35810673393376E-2</v>
      </c>
      <c r="J105">
        <v>2.6009718379945399E-2</v>
      </c>
      <c r="K105">
        <v>2.6859644461230198E-2</v>
      </c>
    </row>
    <row r="106" spans="1:16" x14ac:dyDescent="0.3">
      <c r="A106" t="s">
        <v>13</v>
      </c>
      <c r="B106">
        <v>-2.19009414171491E-2</v>
      </c>
      <c r="C106">
        <v>-6.4234770469137105E-4</v>
      </c>
      <c r="D106">
        <v>2.43503933109534E-2</v>
      </c>
      <c r="E106">
        <v>2.39478445529934E-2</v>
      </c>
      <c r="F106">
        <v>5.6864105327909198E-2</v>
      </c>
      <c r="G106">
        <v>2.4325880926550199E-2</v>
      </c>
      <c r="H106">
        <v>2.5038836419752498E-2</v>
      </c>
      <c r="I106">
        <v>2.4784963666364301E-2</v>
      </c>
      <c r="J106">
        <v>2.3600240577848802E-2</v>
      </c>
      <c r="K106">
        <v>2.3185637147698401E-2</v>
      </c>
    </row>
    <row r="107" spans="1:16" x14ac:dyDescent="0.3">
      <c r="A107" t="s">
        <v>14</v>
      </c>
      <c r="B107">
        <v>-2.51326183736202E-2</v>
      </c>
      <c r="C107">
        <v>1.91565981691691E-4</v>
      </c>
      <c r="D107">
        <v>2.44021235758363E-2</v>
      </c>
      <c r="E107">
        <v>2.4522174830682499E-2</v>
      </c>
      <c r="F107">
        <v>2.4325880926550199E-2</v>
      </c>
      <c r="G107">
        <v>4.9409430059957897E-2</v>
      </c>
      <c r="H107">
        <v>2.41968106603992E-2</v>
      </c>
      <c r="I107">
        <v>2.4272522588490102E-2</v>
      </c>
      <c r="J107">
        <v>2.46258400205134E-2</v>
      </c>
      <c r="K107">
        <v>2.47494863144451E-2</v>
      </c>
    </row>
    <row r="108" spans="1:16" x14ac:dyDescent="0.3">
      <c r="A108" s="1" t="s">
        <v>15</v>
      </c>
      <c r="B108" s="1">
        <v>-1.69087355349955E-2</v>
      </c>
      <c r="C108" s="1">
        <v>-1.9305546840531699E-3</v>
      </c>
      <c r="D108">
        <v>2.4270481817286901E-2</v>
      </c>
      <c r="E108">
        <v>2.3060634900171701E-2</v>
      </c>
      <c r="F108">
        <v>2.5038836419752498E-2</v>
      </c>
      <c r="G108">
        <v>2.41968106603992E-2</v>
      </c>
      <c r="H108" s="1">
        <v>6.4801107500785798E-2</v>
      </c>
      <c r="I108">
        <v>2.5576568581605699E-2</v>
      </c>
      <c r="J108">
        <v>2.20159227022165E-2</v>
      </c>
      <c r="K108">
        <v>2.07698458683741E-2</v>
      </c>
    </row>
    <row r="109" spans="1:16" x14ac:dyDescent="0.3">
      <c r="A109" t="s">
        <v>16</v>
      </c>
      <c r="B109">
        <v>-1.98371368162602E-2</v>
      </c>
      <c r="C109">
        <v>-1.1748993569392901E-3</v>
      </c>
      <c r="D109">
        <v>2.4317357472249598E-2</v>
      </c>
      <c r="E109">
        <v>2.35810673393376E-2</v>
      </c>
      <c r="F109">
        <v>2.4784963666364301E-2</v>
      </c>
      <c r="G109">
        <v>2.4272522588490102E-2</v>
      </c>
      <c r="H109">
        <v>2.5576568581605699E-2</v>
      </c>
      <c r="I109">
        <v>0.10844553829494499</v>
      </c>
      <c r="J109">
        <v>2.2945275098021401E-2</v>
      </c>
      <c r="K109">
        <v>2.2186936117582101E-2</v>
      </c>
    </row>
    <row r="110" spans="1:16" x14ac:dyDescent="0.3">
      <c r="A110" t="s">
        <v>17</v>
      </c>
      <c r="B110">
        <v>-3.3502819974741298E-2</v>
      </c>
      <c r="C110">
        <v>2.3514432735665799E-3</v>
      </c>
      <c r="D110">
        <v>2.4536107495577799E-2</v>
      </c>
      <c r="E110">
        <v>2.6009718379945399E-2</v>
      </c>
      <c r="F110">
        <v>2.3600240577848802E-2</v>
      </c>
      <c r="G110">
        <v>2.46258400205134E-2</v>
      </c>
      <c r="H110">
        <v>2.20159227022165E-2</v>
      </c>
      <c r="I110">
        <v>2.2945275098021401E-2</v>
      </c>
      <c r="J110">
        <v>0.52728211500595901</v>
      </c>
      <c r="K110">
        <v>2.8799932251874199E-2</v>
      </c>
    </row>
    <row r="111" spans="1:16" x14ac:dyDescent="0.3">
      <c r="A111" t="s">
        <v>18</v>
      </c>
      <c r="B111">
        <v>-3.8285236361827998E-2</v>
      </c>
      <c r="C111">
        <v>3.58551540791071E-3</v>
      </c>
      <c r="D111">
        <v>2.46126608360837E-2</v>
      </c>
      <c r="E111">
        <v>2.6859644461230198E-2</v>
      </c>
      <c r="F111">
        <v>2.3185637147698401E-2</v>
      </c>
      <c r="G111">
        <v>2.47494863144451E-2</v>
      </c>
      <c r="H111">
        <v>2.07698458683741E-2</v>
      </c>
      <c r="I111">
        <v>2.2186936117582101E-2</v>
      </c>
      <c r="J111">
        <v>2.8799932251874199E-2</v>
      </c>
      <c r="K111">
        <v>1.0311140457585799</v>
      </c>
    </row>
    <row r="113" spans="1:14" x14ac:dyDescent="0.3">
      <c r="A113" t="s">
        <v>27</v>
      </c>
      <c r="M113" s="1" t="str">
        <f>A113</f>
        <v>Time to SP Conversion (RRMS Highly Active)</v>
      </c>
    </row>
    <row r="115" spans="1:14" x14ac:dyDescent="0.3">
      <c r="A115" t="s">
        <v>1</v>
      </c>
    </row>
    <row r="117" spans="1:14" x14ac:dyDescent="0.3">
      <c r="A117" t="s">
        <v>2</v>
      </c>
      <c r="B117" t="s">
        <v>3</v>
      </c>
      <c r="C117" t="s">
        <v>4</v>
      </c>
      <c r="D117" t="s">
        <v>5</v>
      </c>
      <c r="E117" t="s">
        <v>6</v>
      </c>
      <c r="F117" t="s">
        <v>7</v>
      </c>
      <c r="G117" t="s">
        <v>8</v>
      </c>
    </row>
    <row r="118" spans="1:14" x14ac:dyDescent="0.3">
      <c r="A118" s="2" t="s">
        <v>9</v>
      </c>
      <c r="B118" s="2">
        <v>-2.3975091047621202</v>
      </c>
      <c r="C118">
        <v>-3.8103077704081301</v>
      </c>
      <c r="D118">
        <v>-0.984710439116111</v>
      </c>
      <c r="E118">
        <v>9.0944203873520604E-2</v>
      </c>
      <c r="F118">
        <v>2.21413634518196E-2</v>
      </c>
      <c r="G118">
        <v>0.37354737598640297</v>
      </c>
      <c r="M118" s="1" t="str">
        <f>A118</f>
        <v>rate</v>
      </c>
      <c r="N118" s="1" cm="1">
        <f t="array" ref="N118:N119">B118:B119</f>
        <v>-2.3975091047621202</v>
      </c>
    </row>
    <row r="119" spans="1:14" x14ac:dyDescent="0.3">
      <c r="A119" s="2" t="s">
        <v>10</v>
      </c>
      <c r="B119" s="2">
        <v>-1.0933500078328899E-2</v>
      </c>
      <c r="C119">
        <v>-0.24371869906311699</v>
      </c>
      <c r="D119">
        <v>0.22185169890646</v>
      </c>
      <c r="E119">
        <v>0.98912605339341497</v>
      </c>
      <c r="F119">
        <v>0.78370806107009705</v>
      </c>
      <c r="G119">
        <v>1.24838622709295</v>
      </c>
      <c r="M119" s="1" t="str">
        <f>A119</f>
        <v>BaselineWebEDSS</v>
      </c>
      <c r="N119" s="1">
        <v>-1.0933500078328899E-2</v>
      </c>
    </row>
    <row r="120" spans="1:14" x14ac:dyDescent="0.3">
      <c r="A120" t="s">
        <v>11</v>
      </c>
      <c r="B120">
        <v>-0.25172165771476301</v>
      </c>
      <c r="C120">
        <v>-1.7084180216776499</v>
      </c>
      <c r="D120">
        <v>1.20497470624813</v>
      </c>
      <c r="E120">
        <v>0.77746110825661796</v>
      </c>
      <c r="F120">
        <v>0.18115214482206701</v>
      </c>
      <c r="G120">
        <v>3.3366746799786098</v>
      </c>
      <c r="M120" s="1" t="str">
        <f>A124</f>
        <v>DMTOcrelizumab</v>
      </c>
      <c r="N120" s="1">
        <f>B123</f>
        <v>-0.29953241848027001</v>
      </c>
    </row>
    <row r="121" spans="1:14" x14ac:dyDescent="0.3">
      <c r="A121" t="s">
        <v>13</v>
      </c>
      <c r="B121">
        <v>-0.28266137852121598</v>
      </c>
      <c r="C121">
        <v>-0.88821292099759896</v>
      </c>
      <c r="D121">
        <v>0.32289016395516601</v>
      </c>
      <c r="E121">
        <v>0.75377498905043905</v>
      </c>
      <c r="F121">
        <v>0.41139028316175402</v>
      </c>
      <c r="G121">
        <v>1.3811136465140801</v>
      </c>
    </row>
    <row r="122" spans="1:14" x14ac:dyDescent="0.3">
      <c r="A122" t="s">
        <v>19</v>
      </c>
      <c r="B122">
        <v>0.42843251618945299</v>
      </c>
      <c r="C122">
        <v>-0.26364059047269101</v>
      </c>
      <c r="D122">
        <v>1.1205056228515999</v>
      </c>
      <c r="E122">
        <v>1.5348497848062099</v>
      </c>
      <c r="F122">
        <v>0.76824960627109395</v>
      </c>
      <c r="G122">
        <v>3.0664042554528801</v>
      </c>
    </row>
    <row r="123" spans="1:14" x14ac:dyDescent="0.3">
      <c r="A123" s="2" t="s">
        <v>15</v>
      </c>
      <c r="B123" s="2">
        <v>-0.29953241848027001</v>
      </c>
      <c r="C123">
        <v>-1.5265121395877499</v>
      </c>
      <c r="D123">
        <v>0.92744730262720998</v>
      </c>
      <c r="E123">
        <v>0.74116469458727297</v>
      </c>
      <c r="F123">
        <v>0.217292232127128</v>
      </c>
      <c r="G123">
        <v>2.5280475934420901</v>
      </c>
    </row>
    <row r="124" spans="1:14" x14ac:dyDescent="0.3">
      <c r="A124" t="s">
        <v>16</v>
      </c>
      <c r="B124">
        <v>-0.29462873725171002</v>
      </c>
      <c r="C124">
        <v>-1.3603280179845501</v>
      </c>
      <c r="D124">
        <v>0.77107054348113102</v>
      </c>
      <c r="E124">
        <v>0.74480805562725005</v>
      </c>
      <c r="F124">
        <v>0.256576601409087</v>
      </c>
      <c r="G124">
        <v>2.1620796155248998</v>
      </c>
    </row>
    <row r="129" spans="1:16" x14ac:dyDescent="0.3">
      <c r="A129" t="s">
        <v>2</v>
      </c>
      <c r="B129" t="s">
        <v>9</v>
      </c>
      <c r="C129" t="s">
        <v>10</v>
      </c>
      <c r="D129" t="s">
        <v>11</v>
      </c>
      <c r="E129" t="s">
        <v>13</v>
      </c>
      <c r="F129" t="s">
        <v>14</v>
      </c>
      <c r="G129" s="2" t="s">
        <v>15</v>
      </c>
      <c r="H129" t="s">
        <v>16</v>
      </c>
      <c r="M129" s="1"/>
      <c r="N129" s="1" t="str">
        <f t="shared" ref="N129:N131" si="8">B129</f>
        <v>rate</v>
      </c>
      <c r="O129" s="1" t="str">
        <f t="shared" ref="O129:O131" si="9">C129</f>
        <v>BaselineWebEDSS</v>
      </c>
      <c r="P129" s="1" t="str">
        <f>H129</f>
        <v>DMTOcrelizumab</v>
      </c>
    </row>
    <row r="130" spans="1:16" x14ac:dyDescent="0.3">
      <c r="A130" s="2" t="s">
        <v>9</v>
      </c>
      <c r="B130" s="2">
        <v>0.519594290298934</v>
      </c>
      <c r="C130" s="2">
        <v>-8.1782513954550398E-2</v>
      </c>
      <c r="D130">
        <v>-0.102778637307552</v>
      </c>
      <c r="E130">
        <v>-4.4459529515552702E-2</v>
      </c>
      <c r="F130">
        <v>-1.23917043975221E-2</v>
      </c>
      <c r="G130" s="2">
        <v>3.3402468343142602E-2</v>
      </c>
      <c r="H130">
        <v>-3.59062012777982E-2</v>
      </c>
      <c r="M130" s="1" t="str">
        <f>A130</f>
        <v>rate</v>
      </c>
      <c r="N130" s="1">
        <f t="shared" si="8"/>
        <v>0.519594290298934</v>
      </c>
      <c r="O130" s="1">
        <f t="shared" si="9"/>
        <v>-8.1782513954550398E-2</v>
      </c>
      <c r="P130" s="1">
        <f>H130</f>
        <v>-3.59062012777982E-2</v>
      </c>
    </row>
    <row r="131" spans="1:16" x14ac:dyDescent="0.3">
      <c r="A131" s="2" t="s">
        <v>10</v>
      </c>
      <c r="B131" s="2">
        <v>-8.1782513954550398E-2</v>
      </c>
      <c r="C131" s="2">
        <v>1.41063464157078E-2</v>
      </c>
      <c r="D131">
        <v>9.8876099185426503E-3</v>
      </c>
      <c r="E131">
        <v>-1.71625208737921E-4</v>
      </c>
      <c r="F131">
        <v>-5.7028791166903302E-3</v>
      </c>
      <c r="G131" s="2">
        <v>-1.3601737115352499E-2</v>
      </c>
      <c r="H131">
        <v>-1.64695538990701E-3</v>
      </c>
      <c r="M131" s="1" t="str">
        <f>A131</f>
        <v>BaselineWebEDSS</v>
      </c>
      <c r="N131" s="1">
        <f t="shared" si="8"/>
        <v>-8.1782513954550398E-2</v>
      </c>
      <c r="O131" s="1">
        <f t="shared" si="9"/>
        <v>1.41063464157078E-2</v>
      </c>
      <c r="P131" s="1">
        <f>H131</f>
        <v>-1.64695538990701E-3</v>
      </c>
    </row>
    <row r="132" spans="1:16" x14ac:dyDescent="0.3">
      <c r="A132" t="s">
        <v>11</v>
      </c>
      <c r="B132">
        <v>-0.102778637307552</v>
      </c>
      <c r="C132">
        <v>9.8876099185426503E-3</v>
      </c>
      <c r="D132">
        <v>0.55238501721054101</v>
      </c>
      <c r="E132">
        <v>4.5334240624208898E-2</v>
      </c>
      <c r="F132">
        <v>4.1457199795171602E-2</v>
      </c>
      <c r="G132">
        <v>3.59206260863505E-2</v>
      </c>
      <c r="H132">
        <v>4.4300132365234203E-2</v>
      </c>
      <c r="M132" s="1" t="str">
        <f>A136</f>
        <v>DMTOcrelizumab</v>
      </c>
      <c r="N132" s="1">
        <f>B136</f>
        <v>-3.59062012777982E-2</v>
      </c>
      <c r="O132" s="1">
        <f>C136</f>
        <v>-1.64695538990701E-3</v>
      </c>
      <c r="P132" s="1">
        <f>G135</f>
        <v>0.39190299994858702</v>
      </c>
    </row>
    <row r="133" spans="1:16" x14ac:dyDescent="0.3">
      <c r="A133" t="s">
        <v>13</v>
      </c>
      <c r="B133">
        <v>-4.4459529515552702E-2</v>
      </c>
      <c r="C133">
        <v>-1.71625208737921E-4</v>
      </c>
      <c r="D133">
        <v>4.5334240624208898E-2</v>
      </c>
      <c r="E133">
        <v>9.5456618881383098E-2</v>
      </c>
      <c r="F133">
        <v>4.5523922690430298E-2</v>
      </c>
      <c r="G133">
        <v>4.5620024339494102E-2</v>
      </c>
      <c r="H133">
        <v>4.5474576195192497E-2</v>
      </c>
    </row>
    <row r="134" spans="1:16" x14ac:dyDescent="0.3">
      <c r="A134" t="s">
        <v>14</v>
      </c>
      <c r="B134">
        <v>-1.23917043975221E-2</v>
      </c>
      <c r="C134">
        <v>-5.7028791166903302E-3</v>
      </c>
      <c r="D134">
        <v>4.1457199795171602E-2</v>
      </c>
      <c r="E134">
        <v>4.5523922690430298E-2</v>
      </c>
      <c r="F134">
        <v>0.124683149637003</v>
      </c>
      <c r="G134">
        <v>5.0953415379037602E-2</v>
      </c>
      <c r="H134">
        <v>4.6120365556107802E-2</v>
      </c>
    </row>
    <row r="135" spans="1:16" x14ac:dyDescent="0.3">
      <c r="A135" s="2" t="s">
        <v>15</v>
      </c>
      <c r="B135" s="2">
        <v>3.3402468343142602E-2</v>
      </c>
      <c r="C135" s="2">
        <v>-1.3601737115352499E-2</v>
      </c>
      <c r="D135">
        <v>3.59206260863505E-2</v>
      </c>
      <c r="E135">
        <v>4.5620024339494102E-2</v>
      </c>
      <c r="F135">
        <v>5.0953415379037602E-2</v>
      </c>
      <c r="G135" s="2">
        <v>0.39190299994858702</v>
      </c>
      <c r="H135">
        <v>4.7042579315194198E-2</v>
      </c>
    </row>
    <row r="136" spans="1:16" x14ac:dyDescent="0.3">
      <c r="A136" t="s">
        <v>16</v>
      </c>
      <c r="B136">
        <v>-3.59062012777982E-2</v>
      </c>
      <c r="C136">
        <v>-1.64695538990701E-3</v>
      </c>
      <c r="D136">
        <v>4.4300132365234203E-2</v>
      </c>
      <c r="E136">
        <v>4.5474576195192497E-2</v>
      </c>
      <c r="F136">
        <v>4.6120365556107802E-2</v>
      </c>
      <c r="G136">
        <v>4.7042579315194198E-2</v>
      </c>
      <c r="H136">
        <v>0.295646786797855</v>
      </c>
    </row>
    <row r="141" spans="1:16" x14ac:dyDescent="0.3">
      <c r="A141" t="s">
        <v>28</v>
      </c>
    </row>
    <row r="143" spans="1:16" x14ac:dyDescent="0.3">
      <c r="A143" t="s">
        <v>1</v>
      </c>
    </row>
    <row r="145" spans="1:9" x14ac:dyDescent="0.3">
      <c r="A145" t="s">
        <v>2</v>
      </c>
      <c r="B145" t="s">
        <v>3</v>
      </c>
      <c r="C145" t="s">
        <v>4</v>
      </c>
      <c r="D145" t="s">
        <v>5</v>
      </c>
      <c r="E145" t="s">
        <v>6</v>
      </c>
      <c r="F145" t="s">
        <v>7</v>
      </c>
      <c r="G145" t="s">
        <v>8</v>
      </c>
    </row>
    <row r="146" spans="1:9" x14ac:dyDescent="0.3">
      <c r="A146" t="s">
        <v>9</v>
      </c>
      <c r="B146">
        <v>-2.8136791624814799</v>
      </c>
      <c r="C146">
        <v>-3.55686067716386</v>
      </c>
      <c r="D146">
        <v>-2.0704976477991002</v>
      </c>
      <c r="E146">
        <v>5.9983895418413001E-2</v>
      </c>
      <c r="F146">
        <v>2.8528243650058498E-2</v>
      </c>
      <c r="G146">
        <v>0.12612300125106801</v>
      </c>
    </row>
    <row r="147" spans="1:9" x14ac:dyDescent="0.3">
      <c r="A147" t="s">
        <v>10</v>
      </c>
      <c r="B147">
        <v>3.3352272213308699E-2</v>
      </c>
      <c r="C147">
        <v>-8.3259826888806898E-2</v>
      </c>
      <c r="D147">
        <v>0.14996437131542401</v>
      </c>
      <c r="E147">
        <v>1.0339146945144599</v>
      </c>
      <c r="F147">
        <v>0.92011204630870103</v>
      </c>
      <c r="G147">
        <v>1.1617928488399301</v>
      </c>
    </row>
    <row r="148" spans="1:9" x14ac:dyDescent="0.3">
      <c r="A148" t="s">
        <v>11</v>
      </c>
      <c r="B148">
        <v>-1.91563109181275E-2</v>
      </c>
      <c r="C148">
        <v>-1.1736695595859701</v>
      </c>
      <c r="D148">
        <v>1.1353569377497199</v>
      </c>
      <c r="E148">
        <v>0.98102600518185001</v>
      </c>
      <c r="F148">
        <v>0.30923011837633302</v>
      </c>
      <c r="G148">
        <v>3.11228423640094</v>
      </c>
    </row>
    <row r="149" spans="1:9" x14ac:dyDescent="0.3">
      <c r="A149" t="s">
        <v>12</v>
      </c>
      <c r="B149">
        <v>1.4382487212297801</v>
      </c>
      <c r="C149">
        <v>3.6747425210441199E-2</v>
      </c>
      <c r="D149">
        <v>2.8397500172491101</v>
      </c>
      <c r="E149">
        <v>4.2133106706292001</v>
      </c>
      <c r="F149">
        <v>1.0374309588383099</v>
      </c>
      <c r="G149">
        <v>17.111487425742599</v>
      </c>
    </row>
    <row r="150" spans="1:9" x14ac:dyDescent="0.3">
      <c r="A150" t="s">
        <v>19</v>
      </c>
      <c r="B150">
        <v>-0.108858927067655</v>
      </c>
      <c r="C150">
        <v>-0.49594566468860202</v>
      </c>
      <c r="D150">
        <v>0.27822781055329299</v>
      </c>
      <c r="E150">
        <v>0.89685693081134699</v>
      </c>
      <c r="F150">
        <v>0.60899473009223704</v>
      </c>
      <c r="G150">
        <v>1.3207870521679601</v>
      </c>
    </row>
    <row r="151" spans="1:9" x14ac:dyDescent="0.3">
      <c r="A151" t="s">
        <v>14</v>
      </c>
      <c r="B151">
        <v>0.11208621016413001</v>
      </c>
      <c r="C151">
        <v>-0.27397852228477199</v>
      </c>
      <c r="D151">
        <v>0.498150942613032</v>
      </c>
      <c r="E151">
        <v>1.1186092919789601</v>
      </c>
      <c r="F151">
        <v>0.76034840563204198</v>
      </c>
      <c r="G151">
        <v>1.6456755072190099</v>
      </c>
    </row>
    <row r="152" spans="1:9" x14ac:dyDescent="0.3">
      <c r="A152" t="s">
        <v>15</v>
      </c>
      <c r="B152">
        <v>9.2560285118698696E-2</v>
      </c>
      <c r="C152">
        <v>-0.32770937399592298</v>
      </c>
      <c r="D152">
        <v>0.51282994423331996</v>
      </c>
      <c r="E152">
        <v>1.0969792710925399</v>
      </c>
      <c r="F152">
        <v>0.72057240635633202</v>
      </c>
      <c r="G152">
        <v>1.6700105507671099</v>
      </c>
    </row>
    <row r="153" spans="1:9" x14ac:dyDescent="0.3">
      <c r="A153" t="s">
        <v>16</v>
      </c>
      <c r="B153">
        <v>-0.14118041283503199</v>
      </c>
      <c r="C153">
        <v>-1.14083422453196</v>
      </c>
      <c r="D153">
        <v>0.858473398861896</v>
      </c>
      <c r="E153">
        <v>0.86833263921203796</v>
      </c>
      <c r="F153">
        <v>0.31955233219749501</v>
      </c>
      <c r="G153">
        <v>2.3595558421865701</v>
      </c>
    </row>
    <row r="157" spans="1:9" x14ac:dyDescent="0.3">
      <c r="A157" t="s">
        <v>2</v>
      </c>
      <c r="B157" t="s">
        <v>9</v>
      </c>
      <c r="C157" t="s">
        <v>10</v>
      </c>
      <c r="D157" t="s">
        <v>11</v>
      </c>
      <c r="E157" t="s">
        <v>12</v>
      </c>
      <c r="F157" t="s">
        <v>13</v>
      </c>
      <c r="G157" t="s">
        <v>14</v>
      </c>
      <c r="H157" t="s">
        <v>15</v>
      </c>
      <c r="I157" t="s">
        <v>16</v>
      </c>
    </row>
    <row r="158" spans="1:9" x14ac:dyDescent="0.3">
      <c r="A158" t="s">
        <v>9</v>
      </c>
      <c r="B158">
        <v>0.143778389811243</v>
      </c>
      <c r="C158">
        <v>-2.1761483928742401E-2</v>
      </c>
      <c r="D158">
        <v>-3.2080652369162403E-2</v>
      </c>
      <c r="E158">
        <v>-2.3277448585345299E-2</v>
      </c>
      <c r="F158">
        <v>-1.76160839696392E-2</v>
      </c>
      <c r="G158">
        <v>-1.55215339543573E-2</v>
      </c>
      <c r="H158">
        <v>-4.0485858877699699E-3</v>
      </c>
      <c r="I158">
        <v>-1.42905521710828E-2</v>
      </c>
    </row>
    <row r="159" spans="1:9" x14ac:dyDescent="0.3">
      <c r="A159" t="s">
        <v>10</v>
      </c>
      <c r="B159">
        <v>-2.1761483928742401E-2</v>
      </c>
      <c r="C159">
        <v>3.53990041068422E-3</v>
      </c>
      <c r="D159">
        <v>3.5918192156901801E-3</v>
      </c>
      <c r="E159">
        <v>2.1598183102510501E-3</v>
      </c>
      <c r="F159">
        <v>1.23889458125353E-3</v>
      </c>
      <c r="G159">
        <v>8.9817799760619405E-4</v>
      </c>
      <c r="H159">
        <v>-9.6810528094501598E-4</v>
      </c>
      <c r="I159">
        <v>6.9793646378311805E-4</v>
      </c>
    </row>
    <row r="160" spans="1:9" x14ac:dyDescent="0.3">
      <c r="A160" t="s">
        <v>11</v>
      </c>
      <c r="B160">
        <v>-3.2080652369162403E-2</v>
      </c>
      <c r="C160">
        <v>3.5918192156901801E-3</v>
      </c>
      <c r="D160">
        <v>0.34697777681988501</v>
      </c>
      <c r="E160">
        <v>1.21914941839375E-2</v>
      </c>
      <c r="F160">
        <v>1.12570635044729E-2</v>
      </c>
      <c r="G160">
        <v>1.09113497186969E-2</v>
      </c>
      <c r="H160">
        <v>9.0176941453400591E-3</v>
      </c>
      <c r="I160">
        <v>1.07081712940169E-2</v>
      </c>
    </row>
    <row r="161" spans="1:9" x14ac:dyDescent="0.3">
      <c r="A161" t="s">
        <v>12</v>
      </c>
      <c r="B161">
        <v>-2.3277448585345299E-2</v>
      </c>
      <c r="C161">
        <v>2.1598183102510501E-3</v>
      </c>
      <c r="D161">
        <v>1.21914941839375E-2</v>
      </c>
      <c r="E161">
        <v>0.51131769841254104</v>
      </c>
      <c r="F161">
        <v>1.07558917323093E-2</v>
      </c>
      <c r="G161">
        <v>1.0548008506627401E-2</v>
      </c>
      <c r="H161">
        <v>9.4093231399535807E-3</v>
      </c>
      <c r="I161">
        <v>1.04258340720241E-2</v>
      </c>
    </row>
    <row r="162" spans="1:9" x14ac:dyDescent="0.3">
      <c r="A162" t="s">
        <v>13</v>
      </c>
      <c r="B162">
        <v>-1.76160839696392E-2</v>
      </c>
      <c r="C162">
        <v>1.23889458125353E-3</v>
      </c>
      <c r="D162">
        <v>1.12570635044729E-2</v>
      </c>
      <c r="E162">
        <v>1.07558917323093E-2</v>
      </c>
      <c r="F162">
        <v>3.9005010709695399E-2</v>
      </c>
      <c r="G162">
        <v>1.0314342771749399E-2</v>
      </c>
      <c r="H162">
        <v>9.66118082575196E-3</v>
      </c>
      <c r="I162">
        <v>1.02442622264187E-2</v>
      </c>
    </row>
    <row r="163" spans="1:9" x14ac:dyDescent="0.3">
      <c r="A163" t="s">
        <v>14</v>
      </c>
      <c r="B163">
        <v>-1.55215339543573E-2</v>
      </c>
      <c r="C163">
        <v>8.9817799760619405E-4</v>
      </c>
      <c r="D163">
        <v>1.09113497186969E-2</v>
      </c>
      <c r="E163">
        <v>1.0548008506627401E-2</v>
      </c>
      <c r="F163">
        <v>1.0314342771749399E-2</v>
      </c>
      <c r="G163">
        <v>3.8799316769432601E-2</v>
      </c>
      <c r="H163">
        <v>9.7543612787783802E-3</v>
      </c>
      <c r="I163">
        <v>1.01770856112733E-2</v>
      </c>
    </row>
    <row r="164" spans="1:9" x14ac:dyDescent="0.3">
      <c r="A164" t="s">
        <v>15</v>
      </c>
      <c r="B164">
        <v>-4.0485858877699699E-3</v>
      </c>
      <c r="C164">
        <v>-9.6810528094501598E-4</v>
      </c>
      <c r="D164">
        <v>9.0176941453400591E-3</v>
      </c>
      <c r="E164">
        <v>9.4093231399535807E-3</v>
      </c>
      <c r="F164">
        <v>9.66118082575196E-3</v>
      </c>
      <c r="G164">
        <v>9.7543612787783802E-3</v>
      </c>
      <c r="H164">
        <v>4.5979039374527297E-2</v>
      </c>
      <c r="I164">
        <v>9.8091240867294698E-3</v>
      </c>
    </row>
    <row r="165" spans="1:9" x14ac:dyDescent="0.3">
      <c r="A165" t="s">
        <v>16</v>
      </c>
      <c r="B165">
        <v>-1.42905521710828E-2</v>
      </c>
      <c r="C165">
        <v>6.9793646378311805E-4</v>
      </c>
      <c r="D165">
        <v>1.07081712940169E-2</v>
      </c>
      <c r="E165">
        <v>1.04258340720241E-2</v>
      </c>
      <c r="F165">
        <v>1.02442622264187E-2</v>
      </c>
      <c r="G165">
        <v>1.01770856112733E-2</v>
      </c>
      <c r="H165">
        <v>9.8091240867294698E-3</v>
      </c>
      <c r="I165">
        <v>0.26013756488989997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3"/>
  <sheetViews>
    <sheetView topLeftCell="A58" workbookViewId="0">
      <selection activeCell="A92" sqref="A92"/>
    </sheetView>
  </sheetViews>
  <sheetFormatPr defaultColWidth="11.5546875" defaultRowHeight="14.4" x14ac:dyDescent="0.3"/>
  <sheetData>
    <row r="1" spans="1:7" x14ac:dyDescent="0.3">
      <c r="A1" s="2" t="s">
        <v>21</v>
      </c>
    </row>
    <row r="3" spans="1:7" x14ac:dyDescent="0.3">
      <c r="A3" t="s">
        <v>1</v>
      </c>
    </row>
    <row r="5" spans="1:7" x14ac:dyDescent="0.3">
      <c r="A5" t="s">
        <v>2</v>
      </c>
      <c r="B5" t="s">
        <v>3</v>
      </c>
      <c r="C5" t="s">
        <v>4</v>
      </c>
      <c r="D5" t="s">
        <v>5</v>
      </c>
      <c r="E5" t="s">
        <v>6</v>
      </c>
      <c r="F5" t="s">
        <v>7</v>
      </c>
      <c r="G5" t="s">
        <v>8</v>
      </c>
    </row>
    <row r="6" spans="1:7" x14ac:dyDescent="0.3">
      <c r="A6" t="s">
        <v>9</v>
      </c>
      <c r="B6" s="2">
        <v>-3.5071491149594101</v>
      </c>
      <c r="C6">
        <v>-3.9389510413634898</v>
      </c>
      <c r="D6">
        <v>-3.0753471885553298</v>
      </c>
      <c r="E6">
        <v>2.9982268712858501E-2</v>
      </c>
      <c r="F6">
        <v>1.9468625821523099E-2</v>
      </c>
      <c r="G6">
        <v>4.61735946548553E-2</v>
      </c>
    </row>
    <row r="7" spans="1:7" x14ac:dyDescent="0.3">
      <c r="A7" t="s">
        <v>10</v>
      </c>
      <c r="B7" s="2">
        <v>0.137924847520908</v>
      </c>
      <c r="C7">
        <v>4.14016260182598E-2</v>
      </c>
      <c r="D7">
        <v>0.234448069023556</v>
      </c>
      <c r="E7">
        <v>1.1478892803073799</v>
      </c>
      <c r="F7">
        <v>1.04227062449667</v>
      </c>
      <c r="G7">
        <v>1.2642108190287999</v>
      </c>
    </row>
    <row r="9" spans="1:7" x14ac:dyDescent="0.3">
      <c r="A9" t="s">
        <v>19</v>
      </c>
    </row>
    <row r="10" spans="1:7" x14ac:dyDescent="0.3">
      <c r="A10" t="s">
        <v>2</v>
      </c>
      <c r="B10" t="s">
        <v>9</v>
      </c>
      <c r="C10" t="s">
        <v>10</v>
      </c>
    </row>
    <row r="11" spans="1:7" x14ac:dyDescent="0.3">
      <c r="A11" t="s">
        <v>9</v>
      </c>
      <c r="B11" s="2">
        <v>4.85370043905827E-2</v>
      </c>
      <c r="C11" s="2">
        <v>-9.9456760881325903E-3</v>
      </c>
    </row>
    <row r="12" spans="1:7" x14ac:dyDescent="0.3">
      <c r="A12" t="s">
        <v>10</v>
      </c>
      <c r="B12" s="2">
        <v>-9.9456760881325903E-3</v>
      </c>
      <c r="C12" s="2">
        <v>2.4253109883827402E-3</v>
      </c>
    </row>
    <row r="14" spans="1:7" x14ac:dyDescent="0.3">
      <c r="A14" s="2" t="s">
        <v>22</v>
      </c>
    </row>
    <row r="16" spans="1:7" x14ac:dyDescent="0.3">
      <c r="A16" t="s">
        <v>1</v>
      </c>
    </row>
    <row r="18" spans="1:7" x14ac:dyDescent="0.3">
      <c r="A18" t="s">
        <v>2</v>
      </c>
      <c r="B18" t="s">
        <v>3</v>
      </c>
      <c r="C18" t="s">
        <v>4</v>
      </c>
      <c r="D18" t="s">
        <v>5</v>
      </c>
      <c r="E18" t="s">
        <v>6</v>
      </c>
      <c r="F18" t="s">
        <v>7</v>
      </c>
      <c r="G18" t="s">
        <v>8</v>
      </c>
    </row>
    <row r="19" spans="1:7" x14ac:dyDescent="0.3">
      <c r="A19" t="s">
        <v>9</v>
      </c>
      <c r="B19" s="2">
        <v>-1.88774266744779</v>
      </c>
      <c r="C19">
        <v>-3.1477404588853499</v>
      </c>
      <c r="D19">
        <v>-0.62774487601023699</v>
      </c>
      <c r="E19">
        <v>0.151413213334952</v>
      </c>
      <c r="F19">
        <v>4.2949062483309403E-2</v>
      </c>
      <c r="G19">
        <v>0.53379421684291495</v>
      </c>
    </row>
    <row r="20" spans="1:7" x14ac:dyDescent="0.3">
      <c r="A20" t="s">
        <v>10</v>
      </c>
      <c r="B20" s="2">
        <v>-0.20440888727169201</v>
      </c>
      <c r="C20">
        <v>-0.42093867863327</v>
      </c>
      <c r="D20">
        <v>1.21209040898872E-2</v>
      </c>
      <c r="E20">
        <v>0.81512900716196901</v>
      </c>
      <c r="F20">
        <v>0.65643035338143796</v>
      </c>
      <c r="G20">
        <v>1.0121946599425</v>
      </c>
    </row>
    <row r="22" spans="1:7" x14ac:dyDescent="0.3">
      <c r="A22" t="s">
        <v>19</v>
      </c>
    </row>
    <row r="23" spans="1:7" x14ac:dyDescent="0.3">
      <c r="A23" t="s">
        <v>2</v>
      </c>
      <c r="B23" t="s">
        <v>9</v>
      </c>
      <c r="C23" t="s">
        <v>10</v>
      </c>
    </row>
    <row r="24" spans="1:7" x14ac:dyDescent="0.3">
      <c r="A24" t="s">
        <v>9</v>
      </c>
      <c r="B24" s="2">
        <v>0.41327904541760901</v>
      </c>
      <c r="C24" s="2">
        <v>-6.8522777975636995E-2</v>
      </c>
    </row>
    <row r="25" spans="1:7" x14ac:dyDescent="0.3">
      <c r="A25" t="s">
        <v>10</v>
      </c>
      <c r="B25" s="2">
        <v>-6.8522777975636995E-2</v>
      </c>
      <c r="C25" s="2">
        <v>1.22050379128148E-2</v>
      </c>
    </row>
    <row r="27" spans="1:7" x14ac:dyDescent="0.3">
      <c r="A27" s="2" t="s">
        <v>23</v>
      </c>
    </row>
    <row r="29" spans="1:7" x14ac:dyDescent="0.3">
      <c r="A29" t="s">
        <v>1</v>
      </c>
    </row>
    <row r="31" spans="1:7" x14ac:dyDescent="0.3">
      <c r="A31" t="s">
        <v>2</v>
      </c>
      <c r="B31" t="s">
        <v>3</v>
      </c>
      <c r="C31" t="s">
        <v>4</v>
      </c>
      <c r="D31" t="s">
        <v>5</v>
      </c>
      <c r="E31" t="s">
        <v>6</v>
      </c>
      <c r="F31" t="s">
        <v>7</v>
      </c>
      <c r="G31" t="s">
        <v>8</v>
      </c>
    </row>
    <row r="32" spans="1:7" x14ac:dyDescent="0.3">
      <c r="A32" t="s">
        <v>9</v>
      </c>
      <c r="B32" s="2">
        <v>-10.340595878137901</v>
      </c>
      <c r="C32">
        <v>-15.619571176196899</v>
      </c>
      <c r="D32">
        <v>-5.0616205800789302</v>
      </c>
      <c r="E32">
        <v>3.2295072997825302E-5</v>
      </c>
      <c r="F32">
        <v>1.64629033474858E-7</v>
      </c>
      <c r="G32">
        <v>6.3352843536808E-3</v>
      </c>
    </row>
    <row r="33" spans="1:7" x14ac:dyDescent="0.3">
      <c r="A33" t="s">
        <v>10</v>
      </c>
      <c r="B33" s="2">
        <v>0.99003801205936504</v>
      </c>
      <c r="C33">
        <v>0.19927847552449399</v>
      </c>
      <c r="D33">
        <v>1.78079754859424</v>
      </c>
      <c r="E33">
        <v>2.69133677365812</v>
      </c>
      <c r="F33">
        <v>1.2205218040289101</v>
      </c>
      <c r="G33">
        <v>5.9345876536859699</v>
      </c>
    </row>
    <row r="35" spans="1:7" x14ac:dyDescent="0.3">
      <c r="A35" t="s">
        <v>19</v>
      </c>
    </row>
    <row r="36" spans="1:7" x14ac:dyDescent="0.3">
      <c r="A36" t="s">
        <v>2</v>
      </c>
      <c r="B36" t="s">
        <v>9</v>
      </c>
      <c r="C36" t="s">
        <v>10</v>
      </c>
    </row>
    <row r="37" spans="1:7" x14ac:dyDescent="0.3">
      <c r="A37" t="s">
        <v>9</v>
      </c>
      <c r="B37" s="2">
        <v>7.2544263776544602</v>
      </c>
      <c r="C37" s="2">
        <v>-1.08130749782904</v>
      </c>
    </row>
    <row r="38" spans="1:7" x14ac:dyDescent="0.3">
      <c r="A38" t="s">
        <v>10</v>
      </c>
      <c r="B38" s="2">
        <v>-1.08130749782904</v>
      </c>
      <c r="C38" s="2">
        <v>0.16277687040462799</v>
      </c>
    </row>
    <row r="40" spans="1:7" x14ac:dyDescent="0.3">
      <c r="A40" s="2" t="s">
        <v>24</v>
      </c>
    </row>
    <row r="42" spans="1:7" x14ac:dyDescent="0.3">
      <c r="A42" t="s">
        <v>1</v>
      </c>
    </row>
    <row r="44" spans="1:7" x14ac:dyDescent="0.3">
      <c r="A44" t="s">
        <v>2</v>
      </c>
      <c r="B44" t="s">
        <v>3</v>
      </c>
      <c r="C44" t="s">
        <v>4</v>
      </c>
      <c r="D44" t="s">
        <v>5</v>
      </c>
      <c r="E44" t="s">
        <v>6</v>
      </c>
      <c r="F44" t="s">
        <v>7</v>
      </c>
      <c r="G44" t="s">
        <v>8</v>
      </c>
    </row>
    <row r="45" spans="1:7" x14ac:dyDescent="0.3">
      <c r="A45" t="s">
        <v>9</v>
      </c>
      <c r="B45" s="2">
        <v>-4.8340183103511603</v>
      </c>
      <c r="C45">
        <v>-6.6610556593797199</v>
      </c>
      <c r="D45">
        <v>-3.0069809613226002</v>
      </c>
      <c r="E45">
        <v>7.9544933370576196E-3</v>
      </c>
      <c r="F45">
        <v>1.27979462981586E-3</v>
      </c>
      <c r="G45">
        <v>4.94407171081803E-2</v>
      </c>
    </row>
    <row r="46" spans="1:7" x14ac:dyDescent="0.3">
      <c r="A46" t="s">
        <v>10</v>
      </c>
      <c r="B46" s="2">
        <v>6.7234350590280698E-2</v>
      </c>
      <c r="C46">
        <v>-0.22270277711748401</v>
      </c>
      <c r="D46">
        <v>0.35717147829804602</v>
      </c>
      <c r="E46">
        <v>1.06954609756635</v>
      </c>
      <c r="F46">
        <v>0.80035269708155699</v>
      </c>
      <c r="G46">
        <v>1.4292809395041499</v>
      </c>
    </row>
    <row r="48" spans="1:7" x14ac:dyDescent="0.3">
      <c r="A48" t="s">
        <v>19</v>
      </c>
    </row>
    <row r="49" spans="1:7" x14ac:dyDescent="0.3">
      <c r="A49" t="s">
        <v>2</v>
      </c>
      <c r="B49" t="s">
        <v>9</v>
      </c>
      <c r="C49" t="s">
        <v>10</v>
      </c>
    </row>
    <row r="50" spans="1:7" x14ac:dyDescent="0.3">
      <c r="A50" t="s">
        <v>9</v>
      </c>
      <c r="B50" s="2">
        <v>0.86895776593074403</v>
      </c>
      <c r="C50" s="2">
        <v>-0.13573564947313899</v>
      </c>
    </row>
    <row r="51" spans="1:7" x14ac:dyDescent="0.3">
      <c r="A51" t="s">
        <v>10</v>
      </c>
      <c r="B51" s="2">
        <v>-0.13573564947313899</v>
      </c>
      <c r="C51" s="2">
        <v>2.1883232893341101E-2</v>
      </c>
    </row>
    <row r="53" spans="1:7" x14ac:dyDescent="0.3">
      <c r="A53" t="s">
        <v>25</v>
      </c>
    </row>
    <row r="55" spans="1:7" x14ac:dyDescent="0.3">
      <c r="A55" t="s">
        <v>1</v>
      </c>
    </row>
    <row r="57" spans="1:7" x14ac:dyDescent="0.3">
      <c r="A57" t="s">
        <v>2</v>
      </c>
      <c r="B57" t="s">
        <v>3</v>
      </c>
      <c r="C57" t="s">
        <v>4</v>
      </c>
      <c r="D57" t="s">
        <v>5</v>
      </c>
      <c r="E57" t="s">
        <v>6</v>
      </c>
      <c r="F57" t="s">
        <v>7</v>
      </c>
      <c r="G57" t="s">
        <v>8</v>
      </c>
    </row>
    <row r="58" spans="1:7" x14ac:dyDescent="0.3">
      <c r="A58" t="s">
        <v>9</v>
      </c>
      <c r="B58">
        <v>-2.32222471113481</v>
      </c>
      <c r="C58">
        <v>-2.9326581848581998</v>
      </c>
      <c r="D58">
        <v>-1.7117912374114299</v>
      </c>
      <c r="E58">
        <v>9.8055198278639996E-2</v>
      </c>
      <c r="F58">
        <v>5.3255287430195898E-2</v>
      </c>
      <c r="G58">
        <v>0.18054210902656301</v>
      </c>
    </row>
    <row r="59" spans="1:7" x14ac:dyDescent="0.3">
      <c r="A59" t="s">
        <v>10</v>
      </c>
      <c r="B59">
        <v>-7.1990122217056099E-2</v>
      </c>
      <c r="C59">
        <v>-0.22512397887952501</v>
      </c>
      <c r="D59">
        <v>8.1143734445413104E-2</v>
      </c>
      <c r="E59">
        <v>0.930540087438814</v>
      </c>
      <c r="F59">
        <v>0.79841722574994001</v>
      </c>
      <c r="G59">
        <v>1.08452676921807</v>
      </c>
    </row>
    <row r="61" spans="1:7" x14ac:dyDescent="0.3">
      <c r="A61" t="s">
        <v>19</v>
      </c>
    </row>
    <row r="62" spans="1:7" x14ac:dyDescent="0.3">
      <c r="A62" t="s">
        <v>2</v>
      </c>
      <c r="B62" t="s">
        <v>9</v>
      </c>
      <c r="C62" t="s">
        <v>10</v>
      </c>
    </row>
    <row r="63" spans="1:7" x14ac:dyDescent="0.3">
      <c r="A63" t="s">
        <v>9</v>
      </c>
      <c r="B63">
        <v>9.7001957650731593E-2</v>
      </c>
      <c r="C63">
        <v>-2.1365600394444201E-2</v>
      </c>
    </row>
    <row r="64" spans="1:7" x14ac:dyDescent="0.3">
      <c r="A64" t="s">
        <v>10</v>
      </c>
      <c r="B64">
        <v>-2.1365600394444201E-2</v>
      </c>
      <c r="C64">
        <v>6.1044460323238401E-3</v>
      </c>
    </row>
    <row r="66" spans="1:7" x14ac:dyDescent="0.3">
      <c r="A66" t="s">
        <v>26</v>
      </c>
    </row>
    <row r="68" spans="1:7" x14ac:dyDescent="0.3">
      <c r="A68" t="s">
        <v>1</v>
      </c>
    </row>
    <row r="70" spans="1:7" x14ac:dyDescent="0.3">
      <c r="A70" t="s">
        <v>2</v>
      </c>
      <c r="B70" t="s">
        <v>3</v>
      </c>
      <c r="C70" t="s">
        <v>4</v>
      </c>
      <c r="D70" t="s">
        <v>5</v>
      </c>
      <c r="E70" t="s">
        <v>6</v>
      </c>
      <c r="F70" t="s">
        <v>7</v>
      </c>
      <c r="G70" t="s">
        <v>8</v>
      </c>
    </row>
    <row r="71" spans="1:7" x14ac:dyDescent="0.3">
      <c r="A71" t="s">
        <v>9</v>
      </c>
      <c r="B71">
        <v>-2.5660254766561899</v>
      </c>
      <c r="C71">
        <v>-2.9361343175540702</v>
      </c>
      <c r="D71">
        <v>-2.19591663575831</v>
      </c>
      <c r="E71">
        <v>7.6840343047228102E-2</v>
      </c>
      <c r="F71">
        <v>5.3070486366927898E-2</v>
      </c>
      <c r="G71">
        <v>0.111256533034059</v>
      </c>
    </row>
    <row r="72" spans="1:7" x14ac:dyDescent="0.3">
      <c r="A72" t="s">
        <v>10</v>
      </c>
      <c r="B72">
        <v>-6.0044927530380703E-2</v>
      </c>
      <c r="C72">
        <v>-0.14252910591523099</v>
      </c>
      <c r="D72">
        <v>2.2439250854469399E-2</v>
      </c>
      <c r="E72">
        <v>0.94172222338000799</v>
      </c>
      <c r="F72">
        <v>0.86716231437212798</v>
      </c>
      <c r="G72">
        <v>1.02269290455721</v>
      </c>
    </row>
    <row r="74" spans="1:7" x14ac:dyDescent="0.3">
      <c r="A74" t="s">
        <v>19</v>
      </c>
    </row>
    <row r="75" spans="1:7" x14ac:dyDescent="0.3">
      <c r="A75" t="s">
        <v>2</v>
      </c>
      <c r="B75" t="s">
        <v>9</v>
      </c>
      <c r="C75" t="s">
        <v>10</v>
      </c>
    </row>
    <row r="76" spans="1:7" x14ac:dyDescent="0.3">
      <c r="A76" t="s">
        <v>9</v>
      </c>
      <c r="B76">
        <v>3.5658472602348099E-2</v>
      </c>
      <c r="C76">
        <v>-7.2311357378662903E-3</v>
      </c>
    </row>
    <row r="77" spans="1:7" x14ac:dyDescent="0.3">
      <c r="A77" t="s">
        <v>10</v>
      </c>
      <c r="B77">
        <v>-7.2311357378662903E-3</v>
      </c>
      <c r="C77">
        <v>1.77110832144607E-3</v>
      </c>
    </row>
    <row r="79" spans="1:7" x14ac:dyDescent="0.3">
      <c r="A79" t="s">
        <v>27</v>
      </c>
    </row>
    <row r="81" spans="1:7" x14ac:dyDescent="0.3">
      <c r="A81" t="s">
        <v>1</v>
      </c>
    </row>
    <row r="83" spans="1:7" x14ac:dyDescent="0.3">
      <c r="A83" t="s">
        <v>2</v>
      </c>
      <c r="B83" t="s">
        <v>3</v>
      </c>
      <c r="C83" t="s">
        <v>4</v>
      </c>
      <c r="D83" t="s">
        <v>5</v>
      </c>
      <c r="E83" t="s">
        <v>6</v>
      </c>
      <c r="F83" t="s">
        <v>7</v>
      </c>
      <c r="G83" t="s">
        <v>8</v>
      </c>
    </row>
    <row r="84" spans="1:7" x14ac:dyDescent="0.3">
      <c r="A84" t="s">
        <v>9</v>
      </c>
      <c r="B84">
        <v>-2.5771996210402999</v>
      </c>
      <c r="C84">
        <v>-3.89212402941298</v>
      </c>
      <c r="D84">
        <v>-1.26227521266761</v>
      </c>
      <c r="E84">
        <v>7.5986497341446302E-2</v>
      </c>
      <c r="F84">
        <v>2.0401965608557601E-2</v>
      </c>
      <c r="G84">
        <v>0.28300938688964999</v>
      </c>
    </row>
    <row r="85" spans="1:7" x14ac:dyDescent="0.3">
      <c r="A85" t="s">
        <v>10</v>
      </c>
      <c r="B85">
        <v>6.7799597798381701E-3</v>
      </c>
      <c r="C85">
        <v>-0.211664659648899</v>
      </c>
      <c r="D85">
        <v>0.225224579208576</v>
      </c>
      <c r="E85">
        <v>1.0068029957386799</v>
      </c>
      <c r="F85">
        <v>0.80923602156260899</v>
      </c>
      <c r="G85">
        <v>1.25260399341967</v>
      </c>
    </row>
    <row r="87" spans="1:7" x14ac:dyDescent="0.3">
      <c r="A87" t="s">
        <v>19</v>
      </c>
    </row>
    <row r="88" spans="1:7" x14ac:dyDescent="0.3">
      <c r="A88" t="s">
        <v>2</v>
      </c>
      <c r="B88" t="s">
        <v>9</v>
      </c>
      <c r="C88" t="s">
        <v>10</v>
      </c>
    </row>
    <row r="89" spans="1:7" x14ac:dyDescent="0.3">
      <c r="A89" t="s">
        <v>9</v>
      </c>
      <c r="B89">
        <v>0.45009624739953502</v>
      </c>
      <c r="C89">
        <v>-7.3463866592014093E-2</v>
      </c>
    </row>
    <row r="90" spans="1:7" x14ac:dyDescent="0.3">
      <c r="A90" t="s">
        <v>10</v>
      </c>
      <c r="B90">
        <v>-7.3463866592014093E-2</v>
      </c>
      <c r="C90">
        <v>1.24218568998596E-2</v>
      </c>
    </row>
    <row r="92" spans="1:7" x14ac:dyDescent="0.3">
      <c r="A92" t="s">
        <v>28</v>
      </c>
    </row>
    <row r="94" spans="1:7" x14ac:dyDescent="0.3">
      <c r="A94" t="s">
        <v>1</v>
      </c>
    </row>
    <row r="96" spans="1:7" x14ac:dyDescent="0.3">
      <c r="A96" t="s">
        <v>2</v>
      </c>
      <c r="B96" t="s">
        <v>3</v>
      </c>
      <c r="C96" t="s">
        <v>4</v>
      </c>
      <c r="D96" t="s">
        <v>5</v>
      </c>
      <c r="E96" t="s">
        <v>6</v>
      </c>
      <c r="F96" t="s">
        <v>7</v>
      </c>
      <c r="G96" t="s">
        <v>8</v>
      </c>
    </row>
    <row r="97" spans="1:7" x14ac:dyDescent="0.3">
      <c r="A97" t="s">
        <v>9</v>
      </c>
      <c r="B97">
        <v>-2.8128796645300702</v>
      </c>
      <c r="C97">
        <v>-3.5208134260743398</v>
      </c>
      <c r="D97">
        <v>-2.1049459029858002</v>
      </c>
      <c r="E97">
        <v>6.0031871595789897E-2</v>
      </c>
      <c r="F97">
        <v>2.95753680052964E-2</v>
      </c>
      <c r="G97">
        <v>0.121852265934545</v>
      </c>
    </row>
    <row r="98" spans="1:7" x14ac:dyDescent="0.3">
      <c r="A98" t="s">
        <v>10</v>
      </c>
      <c r="B98">
        <v>3.5648641572957197E-2</v>
      </c>
      <c r="C98">
        <v>-7.9026856635354706E-2</v>
      </c>
      <c r="D98">
        <v>0.15032413978126899</v>
      </c>
      <c r="E98">
        <v>1.0362916727048299</v>
      </c>
      <c r="F98">
        <v>0.92401510817502497</v>
      </c>
      <c r="G98">
        <v>1.1622109004671699</v>
      </c>
    </row>
    <row r="100" spans="1:7" x14ac:dyDescent="0.3">
      <c r="A100" t="s">
        <v>19</v>
      </c>
    </row>
    <row r="101" spans="1:7" x14ac:dyDescent="0.3">
      <c r="A101" t="s">
        <v>2</v>
      </c>
      <c r="B101" t="s">
        <v>9</v>
      </c>
      <c r="C101" t="s">
        <v>10</v>
      </c>
    </row>
    <row r="102" spans="1:7" x14ac:dyDescent="0.3">
      <c r="A102" t="s">
        <v>9</v>
      </c>
      <c r="B102">
        <v>0.13046351246417001</v>
      </c>
      <c r="C102">
        <v>-2.0738326633896399E-2</v>
      </c>
    </row>
    <row r="103" spans="1:7" x14ac:dyDescent="0.3">
      <c r="A103" t="s">
        <v>10</v>
      </c>
      <c r="B103">
        <v>-2.0738326633896399E-2</v>
      </c>
      <c r="C103">
        <v>3.4233010174369999E-3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1"/>
  <sheetViews>
    <sheetView workbookViewId="0"/>
  </sheetViews>
  <sheetFormatPr defaultColWidth="11.5546875" defaultRowHeight="14.4" x14ac:dyDescent="0.3"/>
  <sheetData>
    <row r="1" spans="1:17" x14ac:dyDescent="0.3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  <c r="P1" t="s">
        <v>44</v>
      </c>
      <c r="Q1" t="s">
        <v>45</v>
      </c>
    </row>
    <row r="2" spans="1:17" x14ac:dyDescent="0.3">
      <c r="A2" t="s">
        <v>0</v>
      </c>
      <c r="B2">
        <v>224</v>
      </c>
      <c r="C2">
        <v>12</v>
      </c>
      <c r="D2">
        <v>9</v>
      </c>
      <c r="E2">
        <v>23</v>
      </c>
      <c r="F2">
        <v>65</v>
      </c>
      <c r="G2">
        <v>20</v>
      </c>
      <c r="H2">
        <v>23</v>
      </c>
      <c r="I2">
        <v>43</v>
      </c>
      <c r="J2">
        <v>25</v>
      </c>
      <c r="K2">
        <v>4</v>
      </c>
      <c r="L2">
        <v>186</v>
      </c>
      <c r="M2">
        <v>49.830357142857103</v>
      </c>
      <c r="N2">
        <v>10.5251255164226</v>
      </c>
      <c r="O2">
        <v>4.25</v>
      </c>
      <c r="P2">
        <v>3</v>
      </c>
      <c r="Q2">
        <v>6</v>
      </c>
    </row>
    <row r="3" spans="1:17" x14ac:dyDescent="0.3">
      <c r="A3" t="s">
        <v>20</v>
      </c>
      <c r="B3">
        <v>1016</v>
      </c>
      <c r="C3">
        <v>41</v>
      </c>
      <c r="D3">
        <v>168</v>
      </c>
      <c r="E3">
        <v>35</v>
      </c>
      <c r="F3">
        <v>158</v>
      </c>
      <c r="G3">
        <v>158</v>
      </c>
      <c r="H3">
        <v>177</v>
      </c>
      <c r="I3">
        <v>203</v>
      </c>
      <c r="J3">
        <v>69</v>
      </c>
      <c r="K3">
        <v>7</v>
      </c>
      <c r="L3">
        <v>838</v>
      </c>
      <c r="M3">
        <v>50.278543307086601</v>
      </c>
      <c r="N3">
        <v>10.802397665073199</v>
      </c>
      <c r="O3">
        <v>4</v>
      </c>
      <c r="P3">
        <v>2.5</v>
      </c>
      <c r="Q3">
        <v>5.5</v>
      </c>
    </row>
    <row r="4" spans="1:17" x14ac:dyDescent="0.3">
      <c r="A4" t="s">
        <v>21</v>
      </c>
      <c r="B4">
        <v>793</v>
      </c>
      <c r="C4">
        <v>29</v>
      </c>
      <c r="D4">
        <v>159</v>
      </c>
      <c r="E4">
        <v>12</v>
      </c>
      <c r="F4">
        <v>93</v>
      </c>
      <c r="G4">
        <v>138</v>
      </c>
      <c r="H4">
        <v>156</v>
      </c>
      <c r="I4">
        <v>160</v>
      </c>
      <c r="J4">
        <v>43</v>
      </c>
      <c r="K4">
        <v>3</v>
      </c>
      <c r="L4">
        <v>652</v>
      </c>
      <c r="M4">
        <v>50.305170239596499</v>
      </c>
      <c r="N4">
        <v>10.860929234689401</v>
      </c>
      <c r="O4">
        <v>3.5</v>
      </c>
      <c r="P4">
        <v>2.5</v>
      </c>
      <c r="Q4">
        <v>5.5</v>
      </c>
    </row>
    <row r="5" spans="1:17" x14ac:dyDescent="0.3">
      <c r="A5" t="s">
        <v>22</v>
      </c>
      <c r="B5">
        <v>181</v>
      </c>
      <c r="C5">
        <v>4</v>
      </c>
      <c r="D5">
        <v>69</v>
      </c>
      <c r="E5">
        <v>7</v>
      </c>
      <c r="F5">
        <v>31</v>
      </c>
      <c r="G5">
        <v>21</v>
      </c>
      <c r="H5">
        <v>29</v>
      </c>
      <c r="I5">
        <v>16</v>
      </c>
      <c r="J5">
        <v>4</v>
      </c>
      <c r="K5">
        <v>0</v>
      </c>
      <c r="L5">
        <v>133</v>
      </c>
      <c r="M5">
        <v>57.331491712707198</v>
      </c>
      <c r="N5">
        <v>8.0946177238807397</v>
      </c>
      <c r="O5">
        <v>6.5</v>
      </c>
      <c r="P5">
        <v>6</v>
      </c>
      <c r="Q5">
        <v>7</v>
      </c>
    </row>
    <row r="6" spans="1:17" x14ac:dyDescent="0.3">
      <c r="A6" t="s">
        <v>23</v>
      </c>
      <c r="B6">
        <v>184</v>
      </c>
      <c r="C6">
        <v>4</v>
      </c>
      <c r="D6">
        <v>70</v>
      </c>
      <c r="E6">
        <v>7</v>
      </c>
      <c r="F6">
        <v>31</v>
      </c>
      <c r="G6">
        <v>23</v>
      </c>
      <c r="H6">
        <v>30</v>
      </c>
      <c r="I6">
        <v>15</v>
      </c>
      <c r="J6">
        <v>4</v>
      </c>
      <c r="K6">
        <v>0</v>
      </c>
      <c r="L6">
        <v>135</v>
      </c>
      <c r="M6">
        <v>57.396739130434803</v>
      </c>
      <c r="N6">
        <v>7.9890765736648897</v>
      </c>
      <c r="O6">
        <v>6.5</v>
      </c>
      <c r="P6">
        <v>6</v>
      </c>
      <c r="Q6">
        <v>7</v>
      </c>
    </row>
    <row r="7" spans="1:17" x14ac:dyDescent="0.3">
      <c r="A7" t="s">
        <v>24</v>
      </c>
      <c r="B7">
        <v>164</v>
      </c>
      <c r="C7">
        <v>2</v>
      </c>
      <c r="D7">
        <v>79</v>
      </c>
      <c r="E7">
        <v>1</v>
      </c>
      <c r="F7">
        <v>31</v>
      </c>
      <c r="G7">
        <v>28</v>
      </c>
      <c r="H7">
        <v>19</v>
      </c>
      <c r="I7">
        <v>4</v>
      </c>
      <c r="J7">
        <v>0</v>
      </c>
      <c r="K7">
        <v>0</v>
      </c>
      <c r="L7">
        <v>121</v>
      </c>
      <c r="M7">
        <v>58.225609756097597</v>
      </c>
      <c r="N7">
        <v>7.5691707770193304</v>
      </c>
      <c r="O7">
        <v>6.5</v>
      </c>
      <c r="P7">
        <v>6</v>
      </c>
      <c r="Q7">
        <v>7</v>
      </c>
    </row>
    <row r="8" spans="1:17" x14ac:dyDescent="0.3">
      <c r="A8" t="s">
        <v>25</v>
      </c>
      <c r="B8">
        <v>50</v>
      </c>
      <c r="C8">
        <v>1</v>
      </c>
      <c r="D8">
        <v>11</v>
      </c>
      <c r="E8">
        <v>1</v>
      </c>
      <c r="F8">
        <v>13</v>
      </c>
      <c r="G8">
        <v>11</v>
      </c>
      <c r="H8">
        <v>7</v>
      </c>
      <c r="I8">
        <v>4</v>
      </c>
      <c r="J8">
        <v>1</v>
      </c>
      <c r="K8">
        <v>1</v>
      </c>
      <c r="L8">
        <v>40</v>
      </c>
      <c r="M8">
        <v>50.12</v>
      </c>
      <c r="N8">
        <v>9.8284053142108494</v>
      </c>
      <c r="O8">
        <v>4.5</v>
      </c>
      <c r="P8">
        <v>3.5</v>
      </c>
      <c r="Q8">
        <v>6</v>
      </c>
    </row>
    <row r="9" spans="1:17" x14ac:dyDescent="0.3">
      <c r="A9" t="s">
        <v>26</v>
      </c>
      <c r="B9">
        <v>191</v>
      </c>
      <c r="C9">
        <v>9</v>
      </c>
      <c r="D9">
        <v>56</v>
      </c>
      <c r="E9">
        <v>2</v>
      </c>
      <c r="F9">
        <v>34</v>
      </c>
      <c r="G9">
        <v>44</v>
      </c>
      <c r="H9">
        <v>28</v>
      </c>
      <c r="I9">
        <v>15</v>
      </c>
      <c r="J9">
        <v>2</v>
      </c>
      <c r="K9">
        <v>1</v>
      </c>
      <c r="L9">
        <v>150</v>
      </c>
      <c r="M9">
        <v>52.418848167539302</v>
      </c>
      <c r="N9">
        <v>10.0494807790979</v>
      </c>
      <c r="O9">
        <v>4.5</v>
      </c>
      <c r="P9">
        <v>3</v>
      </c>
      <c r="Q9">
        <v>6</v>
      </c>
    </row>
    <row r="10" spans="1:17" x14ac:dyDescent="0.3">
      <c r="A10" t="s">
        <v>27</v>
      </c>
      <c r="B10">
        <v>66</v>
      </c>
      <c r="C10">
        <v>2</v>
      </c>
      <c r="D10">
        <v>23</v>
      </c>
      <c r="E10">
        <v>0</v>
      </c>
      <c r="F10">
        <v>20</v>
      </c>
      <c r="G10">
        <v>14</v>
      </c>
      <c r="H10">
        <v>3</v>
      </c>
      <c r="I10">
        <v>4</v>
      </c>
      <c r="J10">
        <v>0</v>
      </c>
      <c r="K10">
        <v>0</v>
      </c>
      <c r="L10">
        <v>46</v>
      </c>
      <c r="M10">
        <v>56.727272727272698</v>
      </c>
      <c r="N10">
        <v>6.5622356756624498</v>
      </c>
      <c r="O10">
        <v>6.5</v>
      </c>
      <c r="P10">
        <v>6</v>
      </c>
      <c r="Q10">
        <v>7</v>
      </c>
    </row>
    <row r="11" spans="1:17" x14ac:dyDescent="0.3">
      <c r="A11" t="s">
        <v>28</v>
      </c>
      <c r="B11">
        <v>222</v>
      </c>
      <c r="C11">
        <v>3</v>
      </c>
      <c r="D11">
        <v>107</v>
      </c>
      <c r="E11">
        <v>2</v>
      </c>
      <c r="F11">
        <v>37</v>
      </c>
      <c r="G11">
        <v>40</v>
      </c>
      <c r="H11">
        <v>29</v>
      </c>
      <c r="I11">
        <v>4</v>
      </c>
      <c r="J11">
        <v>0</v>
      </c>
      <c r="K11">
        <v>0</v>
      </c>
      <c r="L11">
        <v>164</v>
      </c>
      <c r="M11">
        <v>57.8108108108108</v>
      </c>
      <c r="N11">
        <v>7.82039740864899</v>
      </c>
      <c r="O11">
        <v>6.5</v>
      </c>
      <c r="P11">
        <v>6</v>
      </c>
      <c r="Q11">
        <v>7</v>
      </c>
    </row>
  </sheetData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E3D2A8E3060445845CB33F649944D9" ma:contentTypeVersion="12" ma:contentTypeDescription="Create a new document." ma:contentTypeScope="" ma:versionID="1dd74ed78a59e353fa0bdc00cb9d4ef2">
  <xsd:schema xmlns:xsd="http://www.w3.org/2001/XMLSchema" xmlns:xs="http://www.w3.org/2001/XMLSchema" xmlns:p="http://schemas.microsoft.com/office/2006/metadata/properties" xmlns:ns2="a4e98822-f433-4c96-8830-5cb2d7491f7d" xmlns:ns3="adc125f1-7df9-46f4-a9a7-022dd426a2bb" targetNamespace="http://schemas.microsoft.com/office/2006/metadata/properties" ma:root="true" ma:fieldsID="29b19980e720fd97176dcdbc89cda831" ns2:_="" ns3:_="">
    <xsd:import namespace="a4e98822-f433-4c96-8830-5cb2d7491f7d"/>
    <xsd:import namespace="adc125f1-7df9-46f4-a9a7-022dd426a2b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e98822-f433-4c96-8830-5cb2d7491f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c125f1-7df9-46f4-a9a7-022dd426a2b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4e98822-f433-4c96-8830-5cb2d7491f7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5B39FA5-ED9E-4AC8-8F24-31AC5F18767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2FD9C38-4700-492D-908A-E5B83938087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4e98822-f433-4c96-8830-5cb2d7491f7d"/>
    <ds:schemaRef ds:uri="adc125f1-7df9-46f4-a9a7-022dd426a2b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54CF5C0-2277-4D4A-A41F-07FEF08241C3}">
  <ds:schemaRefs>
    <ds:schemaRef ds:uri="http://schemas.microsoft.com/office/2006/metadata/properties"/>
    <ds:schemaRef ds:uri="http://schemas.microsoft.com/office/infopath/2007/PartnerControls"/>
    <ds:schemaRef ds:uri="a4e98822-f433-4c96-8830-5cb2d7491f7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Models with DMTs</vt:lpstr>
      <vt:lpstr>Models without DMTs</vt:lpstr>
      <vt:lpstr>Table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jeffrey.rodgers</dc:creator>
  <cp:lastModifiedBy>Ayman Sadek</cp:lastModifiedBy>
  <dcterms:created xsi:type="dcterms:W3CDTF">2024-10-29T11:39:59Z</dcterms:created>
  <dcterms:modified xsi:type="dcterms:W3CDTF">2024-11-17T00:08:05Z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0x010100ACE3D2A8E3060445845CB33F649944D9</vt:lpwstr>
  </property>
  <property fmtid="{D5CDD505-2E9C-101B-9397-08002B2CF9AE}" pid="3" name="MediaServiceImageTags">
    <vt:lpwstr/>
  </property>
</Properties>
</file>