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22525\University of Bristol\grp-Bristol TAG - MTA-MS - MTA-MS\Working Folder_HE\MS Models\Git Repo\MS-MTA\data-raw\"/>
    </mc:Choice>
  </mc:AlternateContent>
  <xr:revisionPtr revIDLastSave="0" documentId="13_ncr:1_{B382A867-54DB-4201-AE2E-72599C3B6227}" xr6:coauthVersionLast="47" xr6:coauthVersionMax="47" xr10:uidLastSave="{00000000-0000-0000-0000-000000000000}"/>
  <bookViews>
    <workbookView xWindow="-108" yWindow="-108" windowWidth="23256" windowHeight="12456" xr2:uid="{F3085D2F-6AF2-4CC0-8AEB-3C983E1B7CEA}"/>
  </bookViews>
  <sheets>
    <sheet name="Opera" sheetId="2" r:id="rId1"/>
    <sheet name="Clarit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E2" i="1"/>
  <c r="D2" i="1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E2" i="2"/>
  <c r="D2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<sst xmlns="http://schemas.openxmlformats.org/spreadsheetml/2006/main" count="31" uniqueCount="18">
  <si>
    <t>EDSS0</t>
  </si>
  <si>
    <t>EDSS1</t>
  </si>
  <si>
    <t>EDSS2</t>
  </si>
  <si>
    <t>EDSS3</t>
  </si>
  <si>
    <t>EDSS4</t>
  </si>
  <si>
    <t>EDSS5</t>
  </si>
  <si>
    <t>EDSS6</t>
  </si>
  <si>
    <t>EDSS7</t>
  </si>
  <si>
    <t>EDSS8</t>
  </si>
  <si>
    <t>EDSS9</t>
  </si>
  <si>
    <t>Relpase</t>
  </si>
  <si>
    <t>rrms_mean</t>
  </si>
  <si>
    <t>spms_mean</t>
  </si>
  <si>
    <t>spms_se</t>
  </si>
  <si>
    <t xml:space="preserve">SPMS </t>
  </si>
  <si>
    <t>rrms_sd</t>
  </si>
  <si>
    <t>rrm_sd</t>
  </si>
  <si>
    <t>spms_sd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</si>
</sst>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 wrapText="1"/>
    </xf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4DF9-6DC2-410B-84C6-0DB8DDCE4EAB}">
  <dimension ref="A1:E13"/>
  <sheetViews>
    <sheetView tabSelected="1" zoomScale="130" zoomScaleNormal="130" workbookViewId="0">
      <selection activeCell="J8" sqref="J8"/>
    </sheetView>
  </sheetViews>
  <sheetFormatPr defaultRowHeight="14.4" x14ac:dyDescent="0.3"/>
  <cols>
    <col min="2" max="3" width="13.33203125" customWidth="1"/>
    <col min="4" max="5" width="14.109375" customWidth="1"/>
  </cols>
  <sheetData>
    <row r="1" spans="1:5" x14ac:dyDescent="0.3">
      <c r="B1" t="s">
        <v>11</v>
      </c>
      <c r="C1" t="s">
        <v>15</v>
      </c>
      <c r="D1" t="s">
        <v>12</v>
      </c>
      <c r="E1" t="s">
        <v>13</v>
      </c>
    </row>
    <row r="2" spans="1:5" x14ac:dyDescent="0.3">
      <c r="A2" t="s">
        <v>0</v>
      </c>
      <c r="B2">
        <v>0.88090000000000002</v>
      </c>
      <c r="C2" s="2">
        <f>(0.911-0.851)/3.92</f>
        <v>1.5306122448979605E-2</v>
      </c>
      <c r="D2">
        <f>B2+$B$13</f>
        <v>0.83589999999999998</v>
      </c>
      <c r="E2" s="2">
        <f>C2+$C$13</f>
        <v>3.1122448979591849E-2</v>
      </c>
    </row>
    <row r="3" spans="1:5" x14ac:dyDescent="0.3">
      <c r="A3" t="s">
        <v>1</v>
      </c>
      <c r="B3">
        <v>0.84379999999999999</v>
      </c>
      <c r="C3" s="2">
        <f>(0.858-0.83)/3.92</f>
        <v>7.1428571428571496E-3</v>
      </c>
      <c r="D3">
        <f t="shared" ref="D3:D11" si="0">B3+$B$13</f>
        <v>0.79879999999999995</v>
      </c>
      <c r="E3" s="2">
        <f t="shared" ref="E3:E11" si="1">C3+$C$13</f>
        <v>2.2959183673469392E-2</v>
      </c>
    </row>
    <row r="4" spans="1:5" x14ac:dyDescent="0.3">
      <c r="A4" t="s">
        <v>2</v>
      </c>
      <c r="B4">
        <v>0.76990000000000003</v>
      </c>
      <c r="C4" s="2">
        <f>( 0.782 - 0.758)/3.92</f>
        <v>6.1224489795918425E-3</v>
      </c>
      <c r="D4">
        <f t="shared" si="0"/>
        <v>0.72489999999999999</v>
      </c>
      <c r="E4" s="2">
        <f t="shared" si="1"/>
        <v>2.1938775510204088E-2</v>
      </c>
    </row>
    <row r="5" spans="1:5" x14ac:dyDescent="0.3">
      <c r="A5" t="s">
        <v>3</v>
      </c>
      <c r="B5">
        <v>0.70479999999999998</v>
      </c>
      <c r="C5" s="2">
        <f>(0.718-0.691)/3.92</f>
        <v>6.8877551020408226E-3</v>
      </c>
      <c r="D5">
        <f t="shared" si="0"/>
        <v>0.65979999999999994</v>
      </c>
      <c r="E5" s="2">
        <f t="shared" si="1"/>
        <v>2.2704081632653066E-2</v>
      </c>
    </row>
    <row r="6" spans="1:5" x14ac:dyDescent="0.3">
      <c r="A6" t="s">
        <v>4</v>
      </c>
      <c r="B6">
        <v>0.64380000000000004</v>
      </c>
      <c r="C6" s="2">
        <f>(0.661-0.627)/3.92</f>
        <v>8.6734693877551106E-3</v>
      </c>
      <c r="D6">
        <f t="shared" si="0"/>
        <v>0.5988</v>
      </c>
      <c r="E6" s="2">
        <f t="shared" si="1"/>
        <v>2.4489795918367356E-2</v>
      </c>
    </row>
    <row r="7" spans="1:5" x14ac:dyDescent="0.3">
      <c r="A7" t="s">
        <v>5</v>
      </c>
      <c r="B7">
        <v>0.60029999999999994</v>
      </c>
      <c r="C7" s="2">
        <f>(0.626-0.575)/3.92</f>
        <v>1.3010204081632665E-2</v>
      </c>
      <c r="D7">
        <f t="shared" si="0"/>
        <v>0.5552999999999999</v>
      </c>
      <c r="E7" s="2">
        <f t="shared" si="1"/>
        <v>2.8826530612244911E-2</v>
      </c>
    </row>
    <row r="8" spans="1:5" x14ac:dyDescent="0.3">
      <c r="A8" t="s">
        <v>6</v>
      </c>
      <c r="B8">
        <v>0.4909</v>
      </c>
      <c r="C8" s="2">
        <f>(0.531-0.451)/3.92</f>
        <v>2.0408163265306128E-2</v>
      </c>
      <c r="D8">
        <f t="shared" si="0"/>
        <v>0.44590000000000002</v>
      </c>
      <c r="E8" s="2">
        <f t="shared" si="1"/>
        <v>3.6224489795918371E-2</v>
      </c>
    </row>
    <row r="9" spans="1:5" x14ac:dyDescent="0.3">
      <c r="A9" t="s">
        <v>7</v>
      </c>
      <c r="B9">
        <v>0.43869999999999998</v>
      </c>
      <c r="C9" s="2">
        <f>(0.633-0.245)/3.92</f>
        <v>9.8979591836734701E-2</v>
      </c>
      <c r="D9">
        <f t="shared" si="0"/>
        <v>0.39369999999999999</v>
      </c>
      <c r="E9" s="2">
        <f t="shared" si="1"/>
        <v>0.11479591836734694</v>
      </c>
    </row>
    <row r="10" spans="1:5" x14ac:dyDescent="0.3">
      <c r="A10" t="s">
        <v>8</v>
      </c>
      <c r="B10">
        <v>-4.9000000000000002E-2</v>
      </c>
      <c r="C10" s="2">
        <v>0.109</v>
      </c>
      <c r="D10">
        <f t="shared" si="0"/>
        <v>-9.4E-2</v>
      </c>
      <c r="E10" s="2">
        <f t="shared" si="1"/>
        <v>0.12481632653061224</v>
      </c>
    </row>
    <row r="11" spans="1:5" x14ac:dyDescent="0.3">
      <c r="A11" t="s">
        <v>9</v>
      </c>
      <c r="B11">
        <v>-0.19500000000000001</v>
      </c>
      <c r="C11" s="2">
        <v>0.11899999999999999</v>
      </c>
      <c r="D11">
        <f t="shared" si="0"/>
        <v>-0.24</v>
      </c>
      <c r="E11" s="2">
        <f t="shared" si="1"/>
        <v>0.13481632653061223</v>
      </c>
    </row>
    <row r="12" spans="1:5" x14ac:dyDescent="0.3">
      <c r="A12" t="s">
        <v>10</v>
      </c>
      <c r="B12">
        <v>-0.10059999999999999</v>
      </c>
      <c r="C12" s="2">
        <v>2.01E-2</v>
      </c>
      <c r="E12" s="2"/>
    </row>
    <row r="13" spans="1:5" x14ac:dyDescent="0.3">
      <c r="A13" s="1" t="s">
        <v>14</v>
      </c>
      <c r="B13" s="1">
        <v>-4.4999999999999998E-2</v>
      </c>
      <c r="C13" s="2">
        <v>1.5816326530612244E-2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F3F6-631F-49BE-A9FD-1381044909BD}">
  <dimension ref="A1:E12"/>
  <sheetViews>
    <sheetView zoomScale="140" zoomScaleNormal="140" workbookViewId="0">
      <selection activeCell="D2" sqref="D2"/>
    </sheetView>
  </sheetViews>
  <sheetFormatPr defaultRowHeight="14.4" x14ac:dyDescent="0.3"/>
  <cols>
    <col min="4" max="5" width="12.88671875" customWidth="1"/>
  </cols>
  <sheetData>
    <row r="1" spans="1:5" x14ac:dyDescent="0.3">
      <c r="B1" t="s">
        <v>11</v>
      </c>
      <c r="C1" t="s">
        <v>16</v>
      </c>
      <c r="D1" t="s">
        <v>12</v>
      </c>
      <c r="E1" t="s">
        <v>17</v>
      </c>
    </row>
    <row r="2" spans="1:5" x14ac:dyDescent="0.3">
      <c r="A2" t="s">
        <v>0</v>
      </c>
      <c r="B2">
        <v>0.90600000000000003</v>
      </c>
      <c r="C2">
        <v>2.5999999999999999E-2</v>
      </c>
      <c r="D2">
        <f>B2+$B$12</f>
        <v>0.86099999999999999</v>
      </c>
      <c r="E2" s="2">
        <f>C2+$C$12</f>
        <v>4.1816326530612243E-2</v>
      </c>
    </row>
    <row r="3" spans="1:5" x14ac:dyDescent="0.3">
      <c r="A3" t="s">
        <v>1</v>
      </c>
      <c r="B3">
        <v>0.84499999999999997</v>
      </c>
      <c r="C3">
        <v>4.5999999999999999E-2</v>
      </c>
      <c r="D3">
        <f t="shared" ref="D3:D11" si="0">B3+$B$12</f>
        <v>0.79999999999999993</v>
      </c>
      <c r="E3" s="2">
        <f t="shared" ref="E3:E11" si="1">C3+$C$12</f>
        <v>6.1816326530612239E-2</v>
      </c>
    </row>
    <row r="4" spans="1:5" x14ac:dyDescent="0.3">
      <c r="A4" t="s">
        <v>2</v>
      </c>
      <c r="B4">
        <v>0.80400000000000005</v>
      </c>
      <c r="C4">
        <v>1.2E-2</v>
      </c>
      <c r="D4">
        <f t="shared" si="0"/>
        <v>0.75900000000000001</v>
      </c>
      <c r="E4" s="2">
        <f t="shared" si="1"/>
        <v>2.7816326530612244E-2</v>
      </c>
    </row>
    <row r="5" spans="1:5" x14ac:dyDescent="0.3">
      <c r="A5" t="s">
        <v>3</v>
      </c>
      <c r="B5">
        <v>0.70099999999999996</v>
      </c>
      <c r="C5">
        <v>0.70099999999999996</v>
      </c>
      <c r="D5">
        <f t="shared" si="0"/>
        <v>0.65599999999999992</v>
      </c>
      <c r="E5" s="2">
        <f t="shared" si="1"/>
        <v>0.71681632653061222</v>
      </c>
    </row>
    <row r="6" spans="1:5" x14ac:dyDescent="0.3">
      <c r="A6" t="s">
        <v>4</v>
      </c>
      <c r="B6">
        <v>0.65500000000000003</v>
      </c>
      <c r="C6">
        <v>1.2999999999999999E-2</v>
      </c>
      <c r="D6">
        <f t="shared" si="0"/>
        <v>0.61</v>
      </c>
      <c r="E6" s="2">
        <f t="shared" si="1"/>
        <v>2.8816326530612245E-2</v>
      </c>
    </row>
    <row r="7" spans="1:5" x14ac:dyDescent="0.3">
      <c r="A7" t="s">
        <v>5</v>
      </c>
      <c r="B7">
        <v>0.56499999999999995</v>
      </c>
      <c r="C7">
        <v>2.5999999999999999E-2</v>
      </c>
      <c r="D7">
        <f t="shared" si="0"/>
        <v>0.51999999999999991</v>
      </c>
      <c r="E7" s="2">
        <f t="shared" si="1"/>
        <v>4.1816326530612243E-2</v>
      </c>
    </row>
    <row r="8" spans="1:5" x14ac:dyDescent="0.3">
      <c r="A8" t="s">
        <v>6</v>
      </c>
      <c r="B8">
        <v>0.57299999999999995</v>
      </c>
      <c r="C8">
        <v>0.22500000000000001</v>
      </c>
      <c r="D8">
        <f t="shared" si="0"/>
        <v>0.52799999999999991</v>
      </c>
      <c r="E8" s="2">
        <f t="shared" si="1"/>
        <v>0.24081632653061225</v>
      </c>
    </row>
    <row r="9" spans="1:5" x14ac:dyDescent="0.3">
      <c r="A9" t="s">
        <v>7</v>
      </c>
      <c r="B9">
        <v>0.29699999999999999</v>
      </c>
      <c r="C9">
        <v>9.4E-2</v>
      </c>
      <c r="D9">
        <f t="shared" si="0"/>
        <v>0.252</v>
      </c>
      <c r="E9" s="2">
        <f t="shared" si="1"/>
        <v>0.10981632653061224</v>
      </c>
    </row>
    <row r="10" spans="1:5" x14ac:dyDescent="0.3">
      <c r="A10" t="s">
        <v>8</v>
      </c>
      <c r="B10">
        <v>-4.9000000000000002E-2</v>
      </c>
      <c r="C10">
        <v>0.109</v>
      </c>
      <c r="D10">
        <f t="shared" si="0"/>
        <v>-9.4E-2</v>
      </c>
      <c r="E10" s="2">
        <f t="shared" si="1"/>
        <v>0.12481632653061224</v>
      </c>
    </row>
    <row r="11" spans="1:5" x14ac:dyDescent="0.3">
      <c r="A11" t="s">
        <v>9</v>
      </c>
      <c r="B11">
        <v>-0.19500000000000001</v>
      </c>
      <c r="C11">
        <v>0.11899999999999999</v>
      </c>
      <c r="D11">
        <f t="shared" si="0"/>
        <v>-0.24</v>
      </c>
      <c r="E11" s="2">
        <f t="shared" si="1"/>
        <v>0.13481632653061223</v>
      </c>
    </row>
    <row r="12" spans="1:5" x14ac:dyDescent="0.3">
      <c r="A12" s="1" t="s">
        <v>14</v>
      </c>
      <c r="B12" s="1">
        <v>-4.4999999999999998E-2</v>
      </c>
      <c r="C12" s="2">
        <v>1.5816326530612244E-2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904d962808a52fea145147f50182407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ea18719b0589a0490468c8ade8a27c2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038293-1664-4794-BDFF-C13771653131}"/>
</file>

<file path=customXml/itemProps2.xml><?xml version="1.0" encoding="utf-8"?>
<ds:datastoreItem xmlns:ds="http://schemas.openxmlformats.org/officeDocument/2006/customXml" ds:itemID="{631D9C5A-8697-4F6A-A255-7BE0A2DDED95}"/>
</file>

<file path=customXml/itemProps3.xml><?xml version="1.0" encoding="utf-8"?>
<ds:datastoreItem xmlns:ds="http://schemas.openxmlformats.org/officeDocument/2006/customXml" ds:itemID="{0D21534E-C8F9-4550-AF2C-D9B5D966503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</vt:lpstr>
      <vt:lpstr>Clarity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created xsi:type="dcterms:W3CDTF">2025-01-18T19:20:35Z</dcterms:created>
  <dcterms:modified xsi:type="dcterms:W3CDTF">2025-01-18T19:39:22Z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