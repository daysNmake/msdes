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147" documentId="11_9E76AE9CE16A48B4AFB46C383DF301A6D4EFC2D2" xr6:coauthVersionLast="47" xr6:coauthVersionMax="47" xr10:uidLastSave="{AA77FCFC-A33F-43FD-9CBB-E0EC92060FF7}"/>
  <bookViews>
    <workbookView xWindow="-120" yWindow="-120" windowWidth="29040" windowHeight="15990" xr2:uid="{00000000-000D-0000-FFFF-FFFF00000000}"/>
  </bookViews>
  <sheets>
    <sheet name="page 2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C8" i="1"/>
  <c r="F4" i="1"/>
  <c r="E4" i="1"/>
  <c r="C4" i="1"/>
</calcChain>
</file>

<file path=xl/sharedStrings.xml><?xml version="1.0" encoding="utf-8"?>
<sst xmlns="http://schemas.openxmlformats.org/spreadsheetml/2006/main" count="33" uniqueCount="30">
  <si>
    <t>Table 74: Summary of comparator discontinuation probabilities across included trials</t>
  </si>
  <si>
    <r>
      <rPr>
        <sz val="8"/>
        <color rgb="FF000000"/>
        <rFont val="Arial"/>
        <family val="2"/>
      </rPr>
      <t>Treatm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nt</t>
    </r>
  </si>
  <si>
    <t>CLARITY</t>
  </si>
  <si>
    <t>CAMMS223</t>
  </si>
  <si>
    <t>Alemtuzumab, 12 mg, qd</t>
  </si>
  <si>
    <t>CARE-MS I</t>
  </si>
  <si>
    <t>CARE-MS II</t>
  </si>
  <si>
    <t>FREEDOMS</t>
  </si>
  <si>
    <t>Fingolimod, 0.5 mg, qd</t>
  </si>
  <si>
    <t>FREEDOMS II</t>
  </si>
  <si>
    <t>AFFIRM</t>
  </si>
  <si>
    <t>Natalizumab, 300 mg, q4w</t>
  </si>
  <si>
    <r>
      <rPr>
        <sz val="8"/>
        <color rgb="FF000000"/>
        <rFont val="Arial"/>
        <family val="2"/>
      </rPr>
      <t>Decide</t>
    </r>
  </si>
  <si>
    <r>
      <rPr>
        <sz val="8"/>
        <color rgb="FF000000"/>
        <rFont val="Arial"/>
        <family val="2"/>
      </rPr>
      <t>Daclizumab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150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</t>
    </r>
    <r>
      <rPr>
        <sz val="8"/>
        <color rgb="FF000000"/>
        <rFont val="Arial"/>
        <family val="2"/>
      </rPr>
      <t>4</t>
    </r>
    <r>
      <rPr>
        <sz val="8"/>
        <color rgb="FF000000"/>
        <rFont val="Arial"/>
        <family val="2"/>
      </rPr>
      <t>w</t>
    </r>
  </si>
  <si>
    <r>
      <rPr>
        <sz val="8"/>
        <color rgb="FF000000"/>
        <rFont val="Arial"/>
        <family val="2"/>
      </rPr>
      <t>919</t>
    </r>
  </si>
  <si>
    <r>
      <rPr>
        <sz val="8"/>
        <color rgb="FF000000"/>
        <rFont val="Arial"/>
        <family val="2"/>
      </rPr>
      <t>266</t>
    </r>
  </si>
  <si>
    <r>
      <rPr>
        <sz val="8"/>
        <color rgb="FF000000"/>
        <rFont val="Arial"/>
        <family val="2"/>
      </rPr>
      <t>144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</si>
  <si>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subm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relapsi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g-remitting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scleros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116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</si>
  <si>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 xml:space="preserve">Cladribine Tablets </t>
  </si>
  <si>
    <t xml:space="preserve">Alemtuzumab </t>
  </si>
  <si>
    <t xml:space="preserve">Fingolimod </t>
  </si>
  <si>
    <t>n</t>
  </si>
  <si>
    <t>Study_duration_wks</t>
  </si>
  <si>
    <t>study_weight</t>
  </si>
  <si>
    <t>studyq</t>
  </si>
  <si>
    <t>x</t>
  </si>
  <si>
    <t>pi</t>
  </si>
  <si>
    <t>weighted two studies</t>
  </si>
  <si>
    <t>weighted three studies</t>
  </si>
  <si>
    <t>Annual_prob_discont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</si>
</sst>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rgb="FF000000"/>
      <name val="Calibri"/>
      <family val="2"/>
      <charset val="204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/>
    </xf>
    <xf numFmtId="164" fontId="0" fillId="0" borderId="0" xfId="0" applyNumberFormat="1"/>
    <xf numFmtId="2" fontId="2" fillId="0" borderId="2" xfId="0" applyNumberFormat="1" applyFont="1" applyBorder="1" applyAlignment="1">
      <alignment horizontal="left" vertical="top"/>
    </xf>
    <xf numFmtId="2" fontId="3" fillId="0" borderId="2" xfId="0" applyNumberFormat="1" applyFont="1" applyBorder="1" applyAlignment="1">
      <alignment vertical="top"/>
    </xf>
    <xf numFmtId="2" fontId="2" fillId="0" borderId="2" xfId="0" applyNumberFormat="1" applyFont="1" applyBorder="1" applyAlignment="1">
      <alignment horizontal="left" vertical="top" wrapText="1"/>
    </xf>
    <xf numFmtId="2" fontId="2" fillId="0" borderId="2" xfId="1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60" zoomScaleNormal="160" workbookViewId="0">
      <selection activeCell="B4" sqref="B4"/>
    </sheetView>
  </sheetViews>
  <sheetFormatPr defaultRowHeight="15" x14ac:dyDescent="0.25"/>
  <cols>
    <col min="1" max="1" width="8.85546875" customWidth="1"/>
    <col min="2" max="2" width="12.85546875" customWidth="1"/>
    <col min="3" max="3" width="9.28515625" customWidth="1"/>
    <col min="4" max="4" width="12.85546875" customWidth="1"/>
    <col min="5" max="5" width="6.28515625" customWidth="1"/>
    <col min="6" max="6" width="5.5703125" customWidth="1"/>
    <col min="7" max="7" width="6.28515625" customWidth="1"/>
    <col min="8" max="8" width="15.85546875" customWidth="1"/>
    <col min="9" max="9" width="12.85546875" customWidth="1"/>
    <col min="10" max="10" width="8.140625" customWidth="1"/>
  </cols>
  <sheetData>
    <row r="1" spans="1:10" ht="11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45.2" customHeight="1" x14ac:dyDescent="0.25">
      <c r="A2" s="1" t="s">
        <v>1</v>
      </c>
      <c r="B2" s="1" t="s">
        <v>24</v>
      </c>
      <c r="C2" s="1" t="s">
        <v>22</v>
      </c>
      <c r="D2" s="1" t="s">
        <v>23</v>
      </c>
      <c r="E2" s="1" t="s">
        <v>21</v>
      </c>
      <c r="F2" s="1" t="s">
        <v>25</v>
      </c>
      <c r="G2" s="1" t="s">
        <v>26</v>
      </c>
      <c r="H2" s="2" t="s">
        <v>29</v>
      </c>
    </row>
    <row r="3" spans="1:10" ht="20.85" customHeight="1" x14ac:dyDescent="0.25">
      <c r="A3" s="5" t="s">
        <v>18</v>
      </c>
      <c r="B3" s="3" t="s">
        <v>2</v>
      </c>
      <c r="C3" s="7">
        <v>96</v>
      </c>
      <c r="D3" s="10">
        <v>1</v>
      </c>
      <c r="E3" s="7">
        <v>433</v>
      </c>
      <c r="F3" s="7">
        <v>38</v>
      </c>
      <c r="G3" s="10">
        <v>8.8000000000000009E-2</v>
      </c>
      <c r="H3" s="10">
        <v>4.9000000000000002E-2</v>
      </c>
    </row>
    <row r="4" spans="1:10" ht="21" customHeight="1" x14ac:dyDescent="0.25">
      <c r="A4" s="5" t="s">
        <v>19</v>
      </c>
      <c r="B4" s="5" t="s">
        <v>28</v>
      </c>
      <c r="C4" s="8">
        <f>SUM(C5:C7)</f>
        <v>364</v>
      </c>
      <c r="D4" s="10">
        <v>1</v>
      </c>
      <c r="E4" s="8">
        <f t="shared" ref="E4:F4" si="0">SUM(E5:E7)</f>
        <v>935</v>
      </c>
      <c r="F4" s="8">
        <f t="shared" si="0"/>
        <v>46</v>
      </c>
      <c r="G4" s="7">
        <v>0</v>
      </c>
      <c r="H4" s="10">
        <v>2.266E-2</v>
      </c>
    </row>
    <row r="5" spans="1:10" ht="20.85" customHeight="1" x14ac:dyDescent="0.25">
      <c r="A5" s="3" t="s">
        <v>4</v>
      </c>
      <c r="B5" s="3" t="s">
        <v>3</v>
      </c>
      <c r="C5" s="7">
        <v>156</v>
      </c>
      <c r="D5" s="10">
        <v>0.121</v>
      </c>
      <c r="E5" s="7">
        <v>113</v>
      </c>
      <c r="F5" s="7">
        <v>14</v>
      </c>
      <c r="G5" s="7">
        <v>0.124</v>
      </c>
      <c r="H5" s="10">
        <v>4.2999999999999997E-2</v>
      </c>
      <c r="J5" s="6"/>
    </row>
    <row r="6" spans="1:10" ht="20.85" customHeight="1" x14ac:dyDescent="0.25">
      <c r="A6" s="3" t="s">
        <v>4</v>
      </c>
      <c r="B6" s="3" t="s">
        <v>5</v>
      </c>
      <c r="C6" s="7">
        <v>104</v>
      </c>
      <c r="D6" s="10">
        <v>0.41299999999999998</v>
      </c>
      <c r="E6" s="7">
        <v>386</v>
      </c>
      <c r="F6" s="7">
        <v>5</v>
      </c>
      <c r="G6" s="10">
        <v>1.3000000000000001E-2</v>
      </c>
      <c r="H6" s="7">
        <v>0.6</v>
      </c>
      <c r="J6" s="10"/>
    </row>
    <row r="7" spans="1:10" ht="20.85" customHeight="1" x14ac:dyDescent="0.25">
      <c r="A7" s="3" t="s">
        <v>4</v>
      </c>
      <c r="B7" s="3" t="s">
        <v>6</v>
      </c>
      <c r="C7" s="7">
        <v>104</v>
      </c>
      <c r="D7" s="10">
        <v>0.46600000000000003</v>
      </c>
      <c r="E7" s="7">
        <v>436</v>
      </c>
      <c r="F7" s="7">
        <v>27</v>
      </c>
      <c r="G7" s="10">
        <v>6.2E-2</v>
      </c>
      <c r="H7" s="10">
        <v>3.1E-2</v>
      </c>
    </row>
    <row r="8" spans="1:10" ht="20.85" customHeight="1" x14ac:dyDescent="0.25">
      <c r="A8" s="5" t="s">
        <v>20</v>
      </c>
      <c r="B8" s="5" t="s">
        <v>27</v>
      </c>
      <c r="C8" s="8">
        <f>SUM(C9:C10)</f>
        <v>208</v>
      </c>
      <c r="D8" s="10">
        <v>1</v>
      </c>
      <c r="E8" s="8">
        <f t="shared" ref="E8:F8" si="1">SUM(E9:E10)</f>
        <v>783</v>
      </c>
      <c r="F8" s="8">
        <f t="shared" si="1"/>
        <v>196</v>
      </c>
      <c r="G8" s="8">
        <v>0</v>
      </c>
      <c r="H8" s="10">
        <v>0.13594999999999999</v>
      </c>
    </row>
    <row r="9" spans="1:10" ht="20.85" customHeight="1" x14ac:dyDescent="0.25">
      <c r="A9" s="3" t="s">
        <v>8</v>
      </c>
      <c r="B9" s="3" t="s">
        <v>7</v>
      </c>
      <c r="C9" s="7">
        <v>104</v>
      </c>
      <c r="D9" s="10">
        <v>0.54299999999999993</v>
      </c>
      <c r="E9" s="7">
        <v>425</v>
      </c>
      <c r="F9" s="7">
        <v>80</v>
      </c>
      <c r="G9" s="10">
        <v>0.188</v>
      </c>
      <c r="H9" s="7">
        <v>9.9000000000000005E-2</v>
      </c>
    </row>
    <row r="10" spans="1:10" ht="21" customHeight="1" x14ac:dyDescent="0.25">
      <c r="A10" s="3" t="s">
        <v>8</v>
      </c>
      <c r="B10" s="3" t="s">
        <v>9</v>
      </c>
      <c r="C10" s="7">
        <v>104</v>
      </c>
      <c r="D10" s="10">
        <v>0.45700000000000002</v>
      </c>
      <c r="E10" s="7">
        <v>358</v>
      </c>
      <c r="F10" s="7">
        <v>116</v>
      </c>
      <c r="G10" s="10">
        <v>0.32400000000000001</v>
      </c>
      <c r="H10" s="7">
        <v>0.17799999999999999</v>
      </c>
    </row>
    <row r="11" spans="1:10" ht="20.85" customHeight="1" x14ac:dyDescent="0.25">
      <c r="A11" s="3" t="s">
        <v>11</v>
      </c>
      <c r="B11" s="3" t="s">
        <v>10</v>
      </c>
      <c r="C11" s="7">
        <v>104</v>
      </c>
      <c r="D11" s="10">
        <v>1</v>
      </c>
      <c r="E11" s="7">
        <v>627</v>
      </c>
      <c r="F11" s="7">
        <v>73</v>
      </c>
      <c r="G11" s="10">
        <v>0.11599999999999999</v>
      </c>
      <c r="H11" s="7">
        <v>6.4000000000000001E-2</v>
      </c>
    </row>
    <row r="12" spans="1:10" ht="38.1" customHeight="1" x14ac:dyDescent="0.25">
      <c r="A12" s="3" t="s">
        <v>13</v>
      </c>
      <c r="B12" s="4" t="s">
        <v>12</v>
      </c>
      <c r="C12" s="9" t="s">
        <v>16</v>
      </c>
      <c r="D12" s="10">
        <v>1</v>
      </c>
      <c r="E12" s="9" t="s">
        <v>14</v>
      </c>
      <c r="F12" s="9" t="s">
        <v>15</v>
      </c>
      <c r="G12" s="10">
        <v>0.28899999999999998</v>
      </c>
      <c r="H12" s="7">
        <v>0.11600000000000001</v>
      </c>
    </row>
    <row r="13" spans="1:10" ht="34.35" customHeight="1" x14ac:dyDescent="0.25">
      <c r="A13" s="11" t="s">
        <v>17</v>
      </c>
      <c r="B13" s="11"/>
      <c r="C13" s="11"/>
      <c r="D13" s="11"/>
      <c r="E13" s="11"/>
      <c r="F13" s="11"/>
      <c r="G13" s="11"/>
      <c r="H13" s="11"/>
      <c r="I13" s="11"/>
      <c r="J13" s="11"/>
    </row>
  </sheetData>
  <mergeCells count="2">
    <mergeCell ref="A13:J13"/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DA2C04-FCF7-40D3-B589-4573315D6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D5D9E4-3901-47B2-A1DA-AA2E9E28E974}"/>
</file>

<file path=customXml/itemProps3.xml><?xml version="1.0" encoding="utf-8"?>
<ds:datastoreItem xmlns:ds="http://schemas.openxmlformats.org/officeDocument/2006/customXml" ds:itemID="{4351D852-643E-4FF7-BB9A-6E54649FC72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2024-05-23T13:46:36Z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