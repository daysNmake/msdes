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17" documentId="8_{55280907-FD0B-49FF-83BF-FA12A7D5D18F}" xr6:coauthVersionLast="47" xr6:coauthVersionMax="47" xr10:uidLastSave="{BAEE230D-2C50-4013-B3C0-452FDDECDAFA}"/>
  <bookViews>
    <workbookView xWindow="28785" yWindow="-16425" windowWidth="29040" windowHeight="15720" tabRatio="472" activeTab="1" xr2:uid="{00000000-000D-0000-FFFF-FFFF00000000}"/>
  </bookViews>
  <sheets>
    <sheet name="Models" sheetId="1" r:id="rId1"/>
    <sheet name="Models without DMTs" sheetId="3" r:id="rId2"/>
    <sheet name="Table 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M1" i="1"/>
  <c r="M29" i="1"/>
  <c r="M57" i="1"/>
  <c r="M85" i="1"/>
  <c r="M113" i="1"/>
  <c r="M141" i="1"/>
  <c r="M169" i="1"/>
  <c r="M197" i="1"/>
  <c r="M225" i="1"/>
  <c r="M254" i="1"/>
  <c r="P272" i="1"/>
  <c r="O272" i="1"/>
  <c r="N272" i="1"/>
  <c r="M272" i="1"/>
  <c r="P271" i="1"/>
  <c r="O271" i="1"/>
  <c r="N271" i="1"/>
  <c r="M271" i="1"/>
  <c r="P270" i="1"/>
  <c r="O270" i="1"/>
  <c r="N270" i="1"/>
  <c r="M270" i="1"/>
  <c r="P269" i="1"/>
  <c r="O269" i="1"/>
  <c r="N269" i="1"/>
  <c r="P244" i="1"/>
  <c r="O244" i="1"/>
  <c r="N244" i="1"/>
  <c r="M244" i="1"/>
  <c r="P243" i="1"/>
  <c r="O243" i="1"/>
  <c r="N243" i="1"/>
  <c r="M243" i="1"/>
  <c r="P242" i="1"/>
  <c r="O242" i="1"/>
  <c r="N242" i="1"/>
  <c r="M242" i="1"/>
  <c r="P241" i="1"/>
  <c r="O241" i="1"/>
  <c r="N241" i="1"/>
  <c r="P216" i="1"/>
  <c r="O216" i="1"/>
  <c r="N216" i="1"/>
  <c r="M216" i="1"/>
  <c r="P215" i="1"/>
  <c r="O215" i="1"/>
  <c r="N215" i="1"/>
  <c r="M215" i="1"/>
  <c r="P214" i="1"/>
  <c r="O214" i="1"/>
  <c r="N214" i="1"/>
  <c r="M214" i="1"/>
  <c r="P213" i="1"/>
  <c r="O213" i="1"/>
  <c r="N213" i="1"/>
  <c r="P188" i="1"/>
  <c r="O188" i="1"/>
  <c r="N188" i="1"/>
  <c r="M188" i="1"/>
  <c r="P187" i="1"/>
  <c r="O187" i="1"/>
  <c r="N187" i="1"/>
  <c r="M187" i="1"/>
  <c r="P186" i="1"/>
  <c r="O186" i="1"/>
  <c r="N186" i="1"/>
  <c r="M186" i="1"/>
  <c r="P185" i="1"/>
  <c r="O185" i="1"/>
  <c r="N185" i="1"/>
  <c r="P160" i="1"/>
  <c r="O160" i="1"/>
  <c r="N160" i="1"/>
  <c r="M160" i="1"/>
  <c r="P159" i="1"/>
  <c r="O159" i="1"/>
  <c r="N159" i="1"/>
  <c r="M159" i="1"/>
  <c r="P158" i="1"/>
  <c r="O158" i="1"/>
  <c r="N158" i="1"/>
  <c r="M158" i="1"/>
  <c r="P157" i="1"/>
  <c r="O157" i="1"/>
  <c r="N157" i="1"/>
  <c r="P132" i="1"/>
  <c r="O132" i="1"/>
  <c r="N132" i="1"/>
  <c r="M132" i="1"/>
  <c r="P131" i="1"/>
  <c r="O131" i="1"/>
  <c r="N131" i="1"/>
  <c r="M131" i="1"/>
  <c r="P130" i="1"/>
  <c r="O130" i="1"/>
  <c r="N130" i="1"/>
  <c r="M130" i="1"/>
  <c r="P129" i="1"/>
  <c r="O129" i="1"/>
  <c r="N129" i="1"/>
  <c r="P104" i="1"/>
  <c r="O104" i="1"/>
  <c r="N104" i="1"/>
  <c r="M104" i="1"/>
  <c r="P103" i="1"/>
  <c r="O103" i="1"/>
  <c r="N103" i="1"/>
  <c r="M103" i="1"/>
  <c r="P102" i="1"/>
  <c r="O102" i="1"/>
  <c r="N102" i="1"/>
  <c r="M102" i="1"/>
  <c r="P101" i="1"/>
  <c r="O101" i="1"/>
  <c r="N101" i="1"/>
  <c r="P76" i="1"/>
  <c r="O76" i="1"/>
  <c r="N76" i="1"/>
  <c r="M76" i="1"/>
  <c r="P75" i="1"/>
  <c r="O75" i="1"/>
  <c r="N75" i="1"/>
  <c r="M75" i="1"/>
  <c r="P74" i="1"/>
  <c r="O74" i="1"/>
  <c r="N74" i="1"/>
  <c r="M74" i="1"/>
  <c r="P73" i="1"/>
  <c r="O73" i="1"/>
  <c r="N73" i="1"/>
  <c r="N260" i="1"/>
  <c r="M260" i="1"/>
  <c r="M259" i="1"/>
  <c r="N258" i="1" a="1"/>
  <c r="N258" i="1" s="1"/>
  <c r="M258" i="1"/>
  <c r="N232" i="1"/>
  <c r="M232" i="1"/>
  <c r="M231" i="1"/>
  <c r="N230" i="1" a="1"/>
  <c r="N230" i="1" s="1"/>
  <c r="M230" i="1"/>
  <c r="N204" i="1"/>
  <c r="M204" i="1"/>
  <c r="M203" i="1"/>
  <c r="N202" i="1" a="1"/>
  <c r="N202" i="1" s="1"/>
  <c r="M202" i="1"/>
  <c r="N176" i="1"/>
  <c r="M176" i="1"/>
  <c r="M175" i="1"/>
  <c r="N174" i="1" a="1"/>
  <c r="N174" i="1" s="1"/>
  <c r="M174" i="1"/>
  <c r="N148" i="1"/>
  <c r="M148" i="1"/>
  <c r="M147" i="1"/>
  <c r="N146" i="1" a="1"/>
  <c r="N146" i="1" s="1"/>
  <c r="M146" i="1"/>
  <c r="N120" i="1"/>
  <c r="M120" i="1"/>
  <c r="M119" i="1"/>
  <c r="N118" i="1" a="1"/>
  <c r="N118" i="1" s="1"/>
  <c r="M118" i="1"/>
  <c r="N92" i="1"/>
  <c r="M92" i="1"/>
  <c r="M91" i="1"/>
  <c r="N90" i="1"/>
  <c r="N90" i="1" a="1"/>
  <c r="M90" i="1"/>
  <c r="N64" i="1"/>
  <c r="M64" i="1"/>
  <c r="M63" i="1"/>
  <c r="N62" i="1" a="1"/>
  <c r="N62" i="1" s="1"/>
  <c r="M62" i="1"/>
  <c r="P48" i="1"/>
  <c r="O48" i="1"/>
  <c r="N48" i="1"/>
  <c r="M48" i="1"/>
  <c r="P47" i="1"/>
  <c r="O47" i="1"/>
  <c r="N47" i="1"/>
  <c r="M47" i="1"/>
  <c r="P46" i="1"/>
  <c r="O46" i="1"/>
  <c r="N46" i="1"/>
  <c r="M46" i="1"/>
  <c r="P45" i="1"/>
  <c r="O45" i="1"/>
  <c r="N45" i="1"/>
  <c r="M36" i="1"/>
  <c r="M35" i="1"/>
  <c r="N34" i="1" a="1"/>
  <c r="N34" i="1" s="1"/>
  <c r="M34" i="1"/>
  <c r="N17" i="1"/>
  <c r="O17" i="1"/>
  <c r="P17" i="1"/>
  <c r="M18" i="1"/>
  <c r="M19" i="1"/>
  <c r="M20" i="1"/>
  <c r="M8" i="1"/>
  <c r="M7" i="1"/>
  <c r="M6" i="1"/>
  <c r="N8" i="1"/>
  <c r="N6" i="1" a="1"/>
  <c r="N6" i="1" s="1"/>
  <c r="P20" i="1"/>
  <c r="O20" i="1"/>
  <c r="N20" i="1"/>
  <c r="P19" i="1"/>
  <c r="P18" i="1"/>
  <c r="N19" i="1"/>
  <c r="O19" i="1"/>
  <c r="O18" i="1"/>
  <c r="N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tc={3BA7F425-91E1-4039-80DD-6D2F3F594B89}</author>
    <author>tc={EBA040F6-BF21-4CA6-A705-615038A0729C}</author>
    <author>tc={88A9EE0D-6253-41E5-947A-CDADD100B5F7}</author>
  </authors>
  <commentList>
    <comment ref="A10" authorId="0" shapeId="0" xr:uid="{3BA7F425-91E1-4039-80DD-6D2F3F594B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Fingolimod?
</t>
      </text>
    </comment>
    <comment ref="A38" authorId="1" shapeId="0" xr:uid="{EBA040F6-BF21-4CA6-A705-615038A072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Fingolimod?
</t>
      </text>
    </comment>
    <comment ref="A66" authorId="2" shapeId="0" xr:uid="{88A9EE0D-6253-41E5-947A-CDADD100B5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Fingolimod?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<sst xmlns="http://schemas.openxmlformats.org/spreadsheetml/2006/main" count="536" uniqueCount="46">
  <si>
    <t>Time to EDSS Increase (RRMS Highly Active)</t>
  </si>
  <si>
    <t>Results (Coefficients and Rates with 95% CI)</t>
  </si>
  <si>
    <t/>
  </si>
  <si>
    <t>Coefficient</t>
  </si>
  <si>
    <t>Lower_95_CI_log</t>
  </si>
  <si>
    <t>Upper_95_CI_log</t>
  </si>
  <si>
    <t>Rate</t>
  </si>
  <si>
    <t>Lower_95_CI_rate</t>
  </si>
  <si>
    <t>Upper_95_CI_rate</t>
  </si>
  <si>
    <t>(Intercept)</t>
  </si>
  <si>
    <t>BaselineWebEDSS</t>
  </si>
  <si>
    <t>DMTAlemtuzumab</t>
  </si>
  <si>
    <t>DMTCladribine</t>
  </si>
  <si>
    <t>DMTFingolimod</t>
  </si>
  <si>
    <t>DMTGlatiramer Acetate</t>
  </si>
  <si>
    <t>DMTNatalizumab</t>
  </si>
  <si>
    <t>DMTOcrelizumab</t>
  </si>
  <si>
    <t>DMTOfatumumab</t>
  </si>
  <si>
    <t>DMTPonesimod</t>
  </si>
  <si>
    <t>Covariance Matrix</t>
  </si>
  <si>
    <t>Time to EDSS Increase (All RRMS)</t>
  </si>
  <si>
    <t>Time to EDSS Decrease (All RRMS)</t>
  </si>
  <si>
    <t>Time to EDSS Increase (SPMS)</t>
  </si>
  <si>
    <t>Time to EDSS Decrease (SPMS)</t>
  </si>
  <si>
    <t>Time to Relapse (SPMS)</t>
  </si>
  <si>
    <t>Time to Relapse (RRMS Highly Active)</t>
  </si>
  <si>
    <t>Time to Relapse (All RRMS)</t>
  </si>
  <si>
    <t>Time to SP Conversion (RRMS Highly Active)</t>
  </si>
  <si>
    <t>Time to SP Conversion (All RRMS)</t>
  </si>
  <si>
    <t>Group</t>
  </si>
  <si>
    <t>N</t>
  </si>
  <si>
    <t>N.Alemtuzumab</t>
  </si>
  <si>
    <t>N.Beta.Interferon</t>
  </si>
  <si>
    <t>N.Cladribine</t>
  </si>
  <si>
    <t>N.Fingolimod</t>
  </si>
  <si>
    <t>N.Glatiramer.Acetate</t>
  </si>
  <si>
    <t>N.Natalizumab</t>
  </si>
  <si>
    <t>N.Ocrelizumab</t>
  </si>
  <si>
    <t>N.Ofatumumab</t>
  </si>
  <si>
    <t>N.Ponesimod</t>
  </si>
  <si>
    <t>N.Female</t>
  </si>
  <si>
    <t>Age.mean</t>
  </si>
  <si>
    <t>Age.sd</t>
  </si>
  <si>
    <t>Age.median</t>
  </si>
  <si>
    <t>Age.Q1</t>
  </si>
  <si>
    <t>Age.Q3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</si>
</sst>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yman Sadek" id="{DBD40FA8-E4E0-4051-BACA-7A08CCA8EDFB}" userId="S::po22525@bristol.ac.uk::752c5ff3-fa6e-41ca-8b19-8aac695725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4-10-22T09:25:23.84" personId="{DBD40FA8-E4E0-4051-BACA-7A08CCA8EDFB}" id="{3BA7F425-91E1-4039-80DD-6D2F3F594B89}">
    <text xml:space="preserve">Fingolimod?
</text>
  </threadedComment>
  <threadedComment ref="A38" dT="2024-10-22T09:25:23.84" personId="{DBD40FA8-E4E0-4051-BACA-7A08CCA8EDFB}" id="{EBA040F6-BF21-4CA6-A705-615038A0729C}">
    <text xml:space="preserve">Fingolimod?
</text>
  </threadedComment>
  <threadedComment ref="A66" dT="2024-10-22T09:25:23.84" personId="{DBD40FA8-E4E0-4051-BACA-7A08CCA8EDFB}" id="{88A9EE0D-6253-41E5-947A-CDADD100B5F7}">
    <text xml:space="preserve">Fingolimod?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7"/>
  <sheetViews>
    <sheetView topLeftCell="A223" workbookViewId="0">
      <selection activeCell="P244" sqref="P244"/>
    </sheetView>
  </sheetViews>
  <sheetFormatPr defaultColWidth="11.5546875" defaultRowHeight="14.4" x14ac:dyDescent="0.3"/>
  <cols>
    <col min="13" max="13" width="21.5546875" customWidth="1"/>
  </cols>
  <sheetData>
    <row r="1" spans="1:14" x14ac:dyDescent="0.3">
      <c r="A1" t="s">
        <v>0</v>
      </c>
      <c r="M1" s="2" t="str">
        <f>A1</f>
        <v>Time to EDSS Increase (RRMS Highly Active)</v>
      </c>
    </row>
    <row r="3" spans="1:14" x14ac:dyDescent="0.3">
      <c r="A3" t="s">
        <v>1</v>
      </c>
    </row>
    <row r="5" spans="1:14" x14ac:dyDescent="0.3">
      <c r="A5" t="s">
        <v>2</v>
      </c>
      <c r="B5" s="2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 spans="1:14" x14ac:dyDescent="0.3">
      <c r="A6" s="2" t="s">
        <v>9</v>
      </c>
      <c r="B6" s="2">
        <v>0.93328576763113402</v>
      </c>
      <c r="C6">
        <v>-7.2165558831459697E-2</v>
      </c>
      <c r="D6">
        <v>1.9387370940937301</v>
      </c>
      <c r="E6">
        <v>2.5428506824530102</v>
      </c>
      <c r="F6">
        <v>0.930376850955553</v>
      </c>
      <c r="G6">
        <v>6.9499682699657601</v>
      </c>
      <c r="M6" s="2" t="str">
        <f>A6</f>
        <v>(Intercept)</v>
      </c>
      <c r="N6" s="2" cm="1">
        <f t="array" ref="N6:N7">B6:B7</f>
        <v>0.93328576763113402</v>
      </c>
    </row>
    <row r="7" spans="1:14" x14ac:dyDescent="0.3">
      <c r="A7" s="2" t="s">
        <v>10</v>
      </c>
      <c r="B7" s="2">
        <v>0.17821799667817501</v>
      </c>
      <c r="C7">
        <v>3.10170417624735E-2</v>
      </c>
      <c r="D7">
        <v>0.32541895159387602</v>
      </c>
      <c r="E7">
        <v>1.19508581757847</v>
      </c>
      <c r="F7">
        <v>1.03150308236726</v>
      </c>
      <c r="G7">
        <v>1.3846106093056501</v>
      </c>
      <c r="M7" s="2" t="str">
        <f>A7</f>
        <v>BaselineWebEDSS</v>
      </c>
      <c r="N7" s="2">
        <v>0.17821799667817501</v>
      </c>
    </row>
    <row r="8" spans="1:14" x14ac:dyDescent="0.3">
      <c r="A8" t="s">
        <v>11</v>
      </c>
      <c r="B8">
        <v>0.337646467169397</v>
      </c>
      <c r="C8">
        <v>-0.80999549799118797</v>
      </c>
      <c r="D8">
        <v>1.48528843232998</v>
      </c>
      <c r="E8">
        <v>1.4016448883175101</v>
      </c>
      <c r="F8">
        <v>0.444860068982384</v>
      </c>
      <c r="G8">
        <v>4.41623901520461</v>
      </c>
      <c r="M8" s="2" t="str">
        <f>A12</f>
        <v>DMTNatalizumab</v>
      </c>
      <c r="N8" s="2">
        <f>B12</f>
        <v>1.2610405266029401</v>
      </c>
    </row>
    <row r="9" spans="1:14" x14ac:dyDescent="0.3">
      <c r="A9" t="s">
        <v>12</v>
      </c>
      <c r="B9">
        <v>3.2887722232160099</v>
      </c>
      <c r="C9">
        <v>1.13810323634786</v>
      </c>
      <c r="D9">
        <v>5.4394412100841603</v>
      </c>
      <c r="E9">
        <v>26.8099268347557</v>
      </c>
      <c r="F9">
        <v>3.1208432456544801</v>
      </c>
      <c r="G9">
        <v>230.31345066298499</v>
      </c>
    </row>
    <row r="10" spans="1:14" x14ac:dyDescent="0.3">
      <c r="A10" s="1" t="s">
        <v>19</v>
      </c>
      <c r="B10">
        <v>2.38076618340751</v>
      </c>
      <c r="C10">
        <v>1.2285227998449</v>
      </c>
      <c r="D10">
        <v>3.53300956697012</v>
      </c>
      <c r="E10">
        <v>10.8131845734744</v>
      </c>
      <c r="F10">
        <v>3.4161794264179002</v>
      </c>
      <c r="G10">
        <v>34.226820674530501</v>
      </c>
    </row>
    <row r="11" spans="1:14" x14ac:dyDescent="0.3">
      <c r="A11" t="s">
        <v>14</v>
      </c>
      <c r="B11">
        <v>1.03588700903377</v>
      </c>
      <c r="C11">
        <v>-0.16195524279072901</v>
      </c>
      <c r="D11">
        <v>2.2337292608582699</v>
      </c>
      <c r="E11">
        <v>2.81760436805531</v>
      </c>
      <c r="F11">
        <v>0.85047926876701596</v>
      </c>
      <c r="G11">
        <v>9.3346124549206309</v>
      </c>
    </row>
    <row r="12" spans="1:14" x14ac:dyDescent="0.3">
      <c r="A12" s="2" t="s">
        <v>15</v>
      </c>
      <c r="B12" s="2">
        <v>1.2610405266029401</v>
      </c>
      <c r="C12">
        <v>2.1450042512885799E-2</v>
      </c>
      <c r="D12">
        <v>2.5006310106930001</v>
      </c>
      <c r="E12">
        <v>3.5290916913508799</v>
      </c>
      <c r="F12">
        <v>1.0216817484096501</v>
      </c>
      <c r="G12">
        <v>12.1901836705495</v>
      </c>
    </row>
    <row r="13" spans="1:14" x14ac:dyDescent="0.3">
      <c r="A13" t="s">
        <v>16</v>
      </c>
      <c r="B13">
        <v>1.0477937411736999</v>
      </c>
      <c r="C13">
        <v>3.1805841093515098E-3</v>
      </c>
      <c r="D13">
        <v>2.0924068982380399</v>
      </c>
      <c r="E13">
        <v>2.85135334986935</v>
      </c>
      <c r="F13">
        <v>1.0031856475337799</v>
      </c>
      <c r="G13">
        <v>8.1043981697688299</v>
      </c>
    </row>
    <row r="14" spans="1:14" x14ac:dyDescent="0.3">
      <c r="A14" t="s">
        <v>17</v>
      </c>
      <c r="B14">
        <v>1.8133153744103401</v>
      </c>
      <c r="C14">
        <v>0.38187478949961201</v>
      </c>
      <c r="D14">
        <v>3.24475595932108</v>
      </c>
      <c r="E14">
        <v>6.1307394725517801</v>
      </c>
      <c r="F14">
        <v>1.4650286366796801</v>
      </c>
      <c r="G14">
        <v>25.6554483231732</v>
      </c>
    </row>
    <row r="15" spans="1:14" x14ac:dyDescent="0.3">
      <c r="A15" t="s">
        <v>18</v>
      </c>
      <c r="B15">
        <v>1.4308697834794899</v>
      </c>
      <c r="C15">
        <v>-0.71645170117164503</v>
      </c>
      <c r="D15">
        <v>3.57819126813063</v>
      </c>
      <c r="E15">
        <v>4.1823353365461804</v>
      </c>
      <c r="F15">
        <v>0.48848246625573599</v>
      </c>
      <c r="G15">
        <v>35.808713875443999</v>
      </c>
    </row>
    <row r="17" spans="1:16" x14ac:dyDescent="0.3">
      <c r="A17" t="s">
        <v>2</v>
      </c>
      <c r="B17" s="2" t="s">
        <v>9</v>
      </c>
      <c r="C17" s="2" t="s">
        <v>10</v>
      </c>
      <c r="D17" t="s">
        <v>11</v>
      </c>
      <c r="E17" t="s">
        <v>12</v>
      </c>
      <c r="F17" t="s">
        <v>13</v>
      </c>
      <c r="G17" t="s">
        <v>14</v>
      </c>
      <c r="H17" s="2" t="s">
        <v>15</v>
      </c>
      <c r="I17" t="s">
        <v>16</v>
      </c>
      <c r="J17" t="s">
        <v>17</v>
      </c>
      <c r="K17" t="s">
        <v>18</v>
      </c>
      <c r="M17" s="2"/>
      <c r="N17" s="2" t="str">
        <f t="shared" ref="N17:O19" si="0">B17</f>
        <v>(Intercept)</v>
      </c>
      <c r="O17" s="2" t="str">
        <f t="shared" si="0"/>
        <v>BaselineWebEDSS</v>
      </c>
      <c r="P17" s="2" t="str">
        <f>H17</f>
        <v>DMTNatalizumab</v>
      </c>
    </row>
    <row r="18" spans="1:16" x14ac:dyDescent="0.3">
      <c r="A18" s="2" t="s">
        <v>9</v>
      </c>
      <c r="B18" s="2">
        <v>0.263163661794172</v>
      </c>
      <c r="C18" s="2">
        <v>-1.88754009677474E-2</v>
      </c>
      <c r="D18">
        <v>-0.20041520260033899</v>
      </c>
      <c r="E18">
        <v>-0.21602939160988899</v>
      </c>
      <c r="F18">
        <v>-0.213197739144598</v>
      </c>
      <c r="G18">
        <v>-0.22079172044859499</v>
      </c>
      <c r="H18" s="2">
        <v>-0.200130766274463</v>
      </c>
      <c r="I18">
        <v>-0.20678924590058201</v>
      </c>
      <c r="J18">
        <v>-0.197996549008982</v>
      </c>
      <c r="K18">
        <v>-0.204513532635275</v>
      </c>
      <c r="M18" s="2" t="str">
        <f>A18</f>
        <v>(Intercept)</v>
      </c>
      <c r="N18" s="2">
        <f t="shared" si="0"/>
        <v>0.263163661794172</v>
      </c>
      <c r="O18" s="2">
        <f t="shared" si="0"/>
        <v>-1.88754009677474E-2</v>
      </c>
      <c r="P18" s="2">
        <f>H18</f>
        <v>-0.200130766274463</v>
      </c>
    </row>
    <row r="19" spans="1:16" x14ac:dyDescent="0.3">
      <c r="A19" s="2" t="s">
        <v>10</v>
      </c>
      <c r="B19" s="2">
        <v>-1.88754009677474E-2</v>
      </c>
      <c r="C19" s="2">
        <v>5.6405970074095502E-3</v>
      </c>
      <c r="D19">
        <v>1.2407633347459501E-4</v>
      </c>
      <c r="E19">
        <v>4.79011484311414E-3</v>
      </c>
      <c r="F19">
        <v>3.9439229953735404E-3</v>
      </c>
      <c r="G19">
        <v>6.2132569444028401E-3</v>
      </c>
      <c r="H19" s="2">
        <v>3.9077307955857001E-5</v>
      </c>
      <c r="I19">
        <v>2.02885227046723E-3</v>
      </c>
      <c r="J19">
        <v>-5.9869772746732805E-4</v>
      </c>
      <c r="K19">
        <v>1.34879352861855E-3</v>
      </c>
      <c r="M19" s="2" t="str">
        <f>A19</f>
        <v>BaselineWebEDSS</v>
      </c>
      <c r="N19" s="2">
        <f t="shared" si="0"/>
        <v>-1.88754009677474E-2</v>
      </c>
      <c r="O19" s="2">
        <f t="shared" si="0"/>
        <v>5.6405970074095502E-3</v>
      </c>
      <c r="P19" s="2">
        <f>H19</f>
        <v>3.9077307955857001E-5</v>
      </c>
    </row>
    <row r="20" spans="1:16" x14ac:dyDescent="0.3">
      <c r="A20" t="s">
        <v>11</v>
      </c>
      <c r="B20">
        <v>-0.20041520260033899</v>
      </c>
      <c r="C20">
        <v>1.2407633347459501E-4</v>
      </c>
      <c r="D20">
        <v>0.34285987216691399</v>
      </c>
      <c r="E20">
        <v>0.20010536825904601</v>
      </c>
      <c r="F20">
        <v>0.20008675455880401</v>
      </c>
      <c r="G20">
        <v>0.20013667314640299</v>
      </c>
      <c r="H20">
        <v>0.20000085958438199</v>
      </c>
      <c r="I20">
        <v>0.200044628706952</v>
      </c>
      <c r="J20">
        <v>0.19998683043323401</v>
      </c>
      <c r="K20">
        <v>0.200029669440207</v>
      </c>
      <c r="M20" s="2" t="str">
        <f>A24</f>
        <v>DMTNatalizumab</v>
      </c>
      <c r="N20" s="2">
        <f>B24</f>
        <v>-0.200130766274463</v>
      </c>
      <c r="O20" s="2">
        <f>C24</f>
        <v>3.9077307955857001E-5</v>
      </c>
      <c r="P20" s="2">
        <f>H24</f>
        <v>0.40000027072240602</v>
      </c>
    </row>
    <row r="21" spans="1:16" x14ac:dyDescent="0.3">
      <c r="A21" t="s">
        <v>12</v>
      </c>
      <c r="B21">
        <v>-0.21602939160988899</v>
      </c>
      <c r="C21">
        <v>4.79011484311414E-3</v>
      </c>
      <c r="D21">
        <v>0.20010536825904601</v>
      </c>
      <c r="E21">
        <v>1.2040678572836301</v>
      </c>
      <c r="F21">
        <v>0.203349263217248</v>
      </c>
      <c r="G21">
        <v>0.20527642983080799</v>
      </c>
      <c r="H21">
        <v>0.20003318528031999</v>
      </c>
      <c r="I21">
        <v>0.20172294446181499</v>
      </c>
      <c r="J21">
        <v>0.19949157316732299</v>
      </c>
      <c r="K21">
        <v>0.20114542412677999</v>
      </c>
    </row>
    <row r="22" spans="1:16" x14ac:dyDescent="0.3">
      <c r="A22" t="s">
        <v>13</v>
      </c>
      <c r="B22">
        <v>-0.213197739144598</v>
      </c>
      <c r="C22">
        <v>3.9439229953735404E-3</v>
      </c>
      <c r="D22">
        <v>0.20008675455880401</v>
      </c>
      <c r="E22">
        <v>0.203349263217248</v>
      </c>
      <c r="F22">
        <v>0.34561474609896298</v>
      </c>
      <c r="G22">
        <v>0.20434432860688401</v>
      </c>
      <c r="H22">
        <v>0.20002732297542999</v>
      </c>
      <c r="I22">
        <v>0.201418579826426</v>
      </c>
      <c r="J22">
        <v>0.19958138868429401</v>
      </c>
      <c r="K22">
        <v>0.200943080636064</v>
      </c>
    </row>
    <row r="23" spans="1:16" x14ac:dyDescent="0.3">
      <c r="A23" t="s">
        <v>14</v>
      </c>
      <c r="B23">
        <v>-0.22079172044859499</v>
      </c>
      <c r="C23">
        <v>6.2132569444028401E-3</v>
      </c>
      <c r="D23">
        <v>0.20013667314640299</v>
      </c>
      <c r="E23">
        <v>0.20527642983080799</v>
      </c>
      <c r="F23">
        <v>0.20434432860688401</v>
      </c>
      <c r="G23">
        <v>0.37351072267819502</v>
      </c>
      <c r="H23">
        <v>0.20004304462004699</v>
      </c>
      <c r="I23">
        <v>0.20223483089504299</v>
      </c>
      <c r="J23">
        <v>0.19934051966345001</v>
      </c>
      <c r="K23">
        <v>0.20148572939127599</v>
      </c>
    </row>
    <row r="24" spans="1:16" x14ac:dyDescent="0.3">
      <c r="A24" s="2" t="s">
        <v>15</v>
      </c>
      <c r="B24" s="2">
        <v>-0.200130766274463</v>
      </c>
      <c r="C24" s="2">
        <v>3.9077307955857001E-5</v>
      </c>
      <c r="D24">
        <v>0.20000085958438199</v>
      </c>
      <c r="E24">
        <v>0.20003318528031999</v>
      </c>
      <c r="F24">
        <v>0.20002732297542999</v>
      </c>
      <c r="G24">
        <v>0.20004304462004699</v>
      </c>
      <c r="H24" s="2">
        <v>0.40000027072240602</v>
      </c>
      <c r="I24">
        <v>0.20001405561944299</v>
      </c>
      <c r="J24">
        <v>0.19999585230154901</v>
      </c>
      <c r="K24">
        <v>0.200009344262676</v>
      </c>
    </row>
    <row r="25" spans="1:16" x14ac:dyDescent="0.3">
      <c r="A25" t="s">
        <v>16</v>
      </c>
      <c r="B25">
        <v>-0.20678924590058201</v>
      </c>
      <c r="C25">
        <v>2.02885227046723E-3</v>
      </c>
      <c r="D25">
        <v>0.200044628706952</v>
      </c>
      <c r="E25">
        <v>0.20172294446181499</v>
      </c>
      <c r="F25">
        <v>0.201418579826426</v>
      </c>
      <c r="G25">
        <v>0.20223483089504299</v>
      </c>
      <c r="H25">
        <v>0.20001405561944299</v>
      </c>
      <c r="I25">
        <v>0.28406308614672698</v>
      </c>
      <c r="J25">
        <v>0.19978465590750399</v>
      </c>
      <c r="K25">
        <v>0.200485144180542</v>
      </c>
    </row>
    <row r="26" spans="1:16" x14ac:dyDescent="0.3">
      <c r="A26" t="s">
        <v>17</v>
      </c>
      <c r="B26">
        <v>-0.197996549008982</v>
      </c>
      <c r="C26">
        <v>-5.9869772746732805E-4</v>
      </c>
      <c r="D26">
        <v>0.19998683043323401</v>
      </c>
      <c r="E26">
        <v>0.19949157316732299</v>
      </c>
      <c r="F26">
        <v>0.19958138868429401</v>
      </c>
      <c r="G26">
        <v>0.19934051966345001</v>
      </c>
      <c r="H26">
        <v>0.19999585230154901</v>
      </c>
      <c r="I26">
        <v>0.19978465590750399</v>
      </c>
      <c r="J26">
        <v>0.533396879615473</v>
      </c>
      <c r="K26">
        <v>0.199856837916386</v>
      </c>
    </row>
    <row r="27" spans="1:16" x14ac:dyDescent="0.3">
      <c r="A27" t="s">
        <v>18</v>
      </c>
      <c r="B27">
        <v>-0.204513532635275</v>
      </c>
      <c r="C27">
        <v>1.34879352861855E-3</v>
      </c>
      <c r="D27">
        <v>0.200029669440207</v>
      </c>
      <c r="E27">
        <v>0.20114542412677999</v>
      </c>
      <c r="F27">
        <v>0.200943080636064</v>
      </c>
      <c r="G27">
        <v>0.20148572939127599</v>
      </c>
      <c r="H27">
        <v>0.200009344262676</v>
      </c>
      <c r="I27">
        <v>0.200485144180542</v>
      </c>
      <c r="J27">
        <v>0.199856837916386</v>
      </c>
      <c r="K27">
        <v>1.20032252684963</v>
      </c>
    </row>
    <row r="29" spans="1:16" x14ac:dyDescent="0.3">
      <c r="A29" t="s">
        <v>20</v>
      </c>
      <c r="M29" s="2" t="str">
        <f>A29</f>
        <v>Time to EDSS Increase (All RRMS)</v>
      </c>
    </row>
    <row r="31" spans="1:16" x14ac:dyDescent="0.3">
      <c r="A31" t="s">
        <v>1</v>
      </c>
    </row>
    <row r="33" spans="1:16" x14ac:dyDescent="0.3">
      <c r="A33" t="s">
        <v>2</v>
      </c>
      <c r="B33" s="2" t="s">
        <v>3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</row>
    <row r="34" spans="1:16" x14ac:dyDescent="0.3">
      <c r="A34" s="2" t="s">
        <v>9</v>
      </c>
      <c r="B34" s="2">
        <v>2.24654577145626</v>
      </c>
      <c r="C34">
        <v>1.8648967164844401</v>
      </c>
      <c r="D34">
        <v>2.6281948264280701</v>
      </c>
      <c r="E34">
        <v>9.4550195656851201</v>
      </c>
      <c r="F34">
        <v>6.4552691286698298</v>
      </c>
      <c r="G34">
        <v>13.848747930655099</v>
      </c>
      <c r="M34" s="2" t="str">
        <f>A34</f>
        <v>(Intercept)</v>
      </c>
      <c r="N34" s="2" cm="1">
        <f t="array" ref="N34:N35">B34:B35</f>
        <v>2.24654577145626</v>
      </c>
    </row>
    <row r="35" spans="1:16" x14ac:dyDescent="0.3">
      <c r="A35" s="2" t="s">
        <v>10</v>
      </c>
      <c r="B35" s="2">
        <v>0.173232490865697</v>
      </c>
      <c r="C35">
        <v>9.6343521776780197E-2</v>
      </c>
      <c r="D35">
        <v>0.25012145995461399</v>
      </c>
      <c r="E35">
        <v>1.1891425377267899</v>
      </c>
      <c r="F35">
        <v>1.1011372636596399</v>
      </c>
      <c r="G35">
        <v>1.2841813838282601</v>
      </c>
      <c r="M35" s="2" t="str">
        <f>A35</f>
        <v>BaselineWebEDSS</v>
      </c>
      <c r="N35" s="2">
        <v>0.173232490865697</v>
      </c>
    </row>
    <row r="36" spans="1:16" x14ac:dyDescent="0.3">
      <c r="A36" t="s">
        <v>11</v>
      </c>
      <c r="B36">
        <v>-4.86158326133911E-2</v>
      </c>
      <c r="C36">
        <v>-0.77529841690419099</v>
      </c>
      <c r="D36">
        <v>0.67806675167740904</v>
      </c>
      <c r="E36">
        <v>0.95254699690730404</v>
      </c>
      <c r="F36">
        <v>0.46056631971429701</v>
      </c>
      <c r="G36">
        <v>1.9700654226734999</v>
      </c>
      <c r="M36" s="2" t="str">
        <f>A40</f>
        <v>DMTNatalizumab</v>
      </c>
      <c r="N36" s="2">
        <f>B40</f>
        <v>-0.27719564335779001</v>
      </c>
    </row>
    <row r="37" spans="1:16" x14ac:dyDescent="0.3">
      <c r="A37" t="s">
        <v>12</v>
      </c>
      <c r="B37">
        <v>1.17226490158778</v>
      </c>
      <c r="C37">
        <v>-3.1435555942811401E-3</v>
      </c>
      <c r="D37">
        <v>2.34767335876984</v>
      </c>
      <c r="E37">
        <v>3.2292984050693501</v>
      </c>
      <c r="F37">
        <v>0.99686138020326698</v>
      </c>
      <c r="G37">
        <v>10.461201924441101</v>
      </c>
    </row>
    <row r="38" spans="1:16" x14ac:dyDescent="0.3">
      <c r="A38" s="1" t="s">
        <v>19</v>
      </c>
      <c r="B38">
        <v>0.53079705072477901</v>
      </c>
      <c r="C38">
        <v>1.20371107525283E-2</v>
      </c>
      <c r="D38">
        <v>1.0495569906970299</v>
      </c>
      <c r="E38">
        <v>1.7002869836471199</v>
      </c>
      <c r="F38">
        <v>1.0121098483272599</v>
      </c>
      <c r="G38">
        <v>2.85638543240918</v>
      </c>
    </row>
    <row r="39" spans="1:16" x14ac:dyDescent="0.3">
      <c r="A39" t="s">
        <v>14</v>
      </c>
      <c r="B39">
        <v>0.30097697951701502</v>
      </c>
      <c r="C39">
        <v>-0.20406813187672501</v>
      </c>
      <c r="D39">
        <v>0.80602209091075505</v>
      </c>
      <c r="E39">
        <v>1.3511782364043901</v>
      </c>
      <c r="F39">
        <v>0.81540681409817095</v>
      </c>
      <c r="G39">
        <v>2.2389837746843599</v>
      </c>
    </row>
    <row r="40" spans="1:16" x14ac:dyDescent="0.3">
      <c r="A40" s="2" t="s">
        <v>15</v>
      </c>
      <c r="B40" s="2">
        <v>-0.27719564335779001</v>
      </c>
      <c r="C40">
        <v>-0.72376209522289703</v>
      </c>
      <c r="D40">
        <v>0.16937080850731701</v>
      </c>
      <c r="E40">
        <v>0.75790620329012903</v>
      </c>
      <c r="F40">
        <v>0.48492448789759302</v>
      </c>
      <c r="G40">
        <v>1.18455930216287</v>
      </c>
    </row>
    <row r="41" spans="1:16" x14ac:dyDescent="0.3">
      <c r="A41" t="s">
        <v>16</v>
      </c>
      <c r="B41">
        <v>-0.36757332226185402</v>
      </c>
      <c r="C41">
        <v>-0.79787871972901703</v>
      </c>
      <c r="D41">
        <v>6.2732075205309698E-2</v>
      </c>
      <c r="E41">
        <v>0.69241255569261995</v>
      </c>
      <c r="F41">
        <v>0.45028312845117502</v>
      </c>
      <c r="G41">
        <v>1.06474153035643</v>
      </c>
    </row>
    <row r="42" spans="1:16" x14ac:dyDescent="0.3">
      <c r="A42" t="s">
        <v>17</v>
      </c>
      <c r="B42">
        <v>2.3940558657642198E-2</v>
      </c>
      <c r="C42">
        <v>-0.67322471559578501</v>
      </c>
      <c r="D42">
        <v>0.72110583291107</v>
      </c>
      <c r="E42">
        <v>1.02422943450867</v>
      </c>
      <c r="F42">
        <v>0.51006112087288802</v>
      </c>
      <c r="G42">
        <v>2.0567063271136701</v>
      </c>
    </row>
    <row r="43" spans="1:16" x14ac:dyDescent="0.3">
      <c r="A43" t="s">
        <v>18</v>
      </c>
      <c r="B43">
        <v>0.50666322804696895</v>
      </c>
      <c r="C43">
        <v>-1.47944020996819</v>
      </c>
      <c r="D43">
        <v>2.4927666660621202</v>
      </c>
      <c r="E43">
        <v>1.65974375840541</v>
      </c>
      <c r="F43">
        <v>0.22776515336611999</v>
      </c>
      <c r="G43">
        <v>12.094691847517201</v>
      </c>
    </row>
    <row r="45" spans="1:16" x14ac:dyDescent="0.3">
      <c r="A45" t="s">
        <v>2</v>
      </c>
      <c r="B45" s="2" t="s">
        <v>9</v>
      </c>
      <c r="C45" s="2" t="s">
        <v>10</v>
      </c>
      <c r="D45" t="s">
        <v>11</v>
      </c>
      <c r="E45" t="s">
        <v>12</v>
      </c>
      <c r="F45" t="s">
        <v>13</v>
      </c>
      <c r="G45" t="s">
        <v>14</v>
      </c>
      <c r="H45" s="2" t="s">
        <v>15</v>
      </c>
      <c r="I45" t="s">
        <v>16</v>
      </c>
      <c r="J45" t="s">
        <v>17</v>
      </c>
      <c r="K45" t="s">
        <v>18</v>
      </c>
      <c r="M45" s="2"/>
      <c r="N45" s="2" t="str">
        <f t="shared" ref="N45:O47" si="1">B45</f>
        <v>(Intercept)</v>
      </c>
      <c r="O45" s="2" t="str">
        <f t="shared" si="1"/>
        <v>BaselineWebEDSS</v>
      </c>
      <c r="P45" s="2" t="str">
        <f>H45</f>
        <v>DMTNatalizumab</v>
      </c>
    </row>
    <row r="46" spans="1:16" x14ac:dyDescent="0.3">
      <c r="A46" s="2" t="s">
        <v>9</v>
      </c>
      <c r="B46" s="2">
        <v>3.7916845646299997E-2</v>
      </c>
      <c r="C46" s="2">
        <v>-4.2253696820032903E-3</v>
      </c>
      <c r="D46">
        <v>-2.5647697560204699E-2</v>
      </c>
      <c r="E46">
        <v>-2.6468736465847201E-2</v>
      </c>
      <c r="F46">
        <v>-2.45771997730918E-2</v>
      </c>
      <c r="G46">
        <v>-2.5330913005035101E-2</v>
      </c>
      <c r="H46">
        <v>-2.2573875657763001E-2</v>
      </c>
      <c r="I46">
        <v>-2.50133186241757E-2</v>
      </c>
      <c r="J46">
        <v>-2.4759008509943201E-2</v>
      </c>
      <c r="K46">
        <v>-2.3823374367617001E-2</v>
      </c>
      <c r="M46" s="2" t="str">
        <f>A46</f>
        <v>(Intercept)</v>
      </c>
      <c r="N46" s="2">
        <f t="shared" si="1"/>
        <v>3.7916845646299997E-2</v>
      </c>
      <c r="O46" s="2">
        <f t="shared" si="1"/>
        <v>-4.2253696820032903E-3</v>
      </c>
      <c r="P46" s="2">
        <f>H46</f>
        <v>-2.2573875657763001E-2</v>
      </c>
    </row>
    <row r="47" spans="1:16" x14ac:dyDescent="0.3">
      <c r="A47" s="2" t="s">
        <v>10</v>
      </c>
      <c r="B47" s="2">
        <v>-4.2253696820032903E-3</v>
      </c>
      <c r="C47" s="2">
        <v>1.53897616595774E-3</v>
      </c>
      <c r="D47">
        <v>-2.4333433732279201E-4</v>
      </c>
      <c r="E47">
        <v>5.5706788590907701E-5</v>
      </c>
      <c r="F47">
        <v>-6.3323408670902005E-4</v>
      </c>
      <c r="G47">
        <v>-3.5871450919888103E-4</v>
      </c>
      <c r="H47">
        <v>-1.36289049507274E-3</v>
      </c>
      <c r="I47">
        <v>-4.74389638091512E-4</v>
      </c>
      <c r="J47">
        <v>-5.6701519136151304E-4</v>
      </c>
      <c r="K47">
        <v>-9.0779452038192295E-4</v>
      </c>
      <c r="M47" s="2" t="str">
        <f>A47</f>
        <v>BaselineWebEDSS</v>
      </c>
      <c r="N47" s="2">
        <f t="shared" si="1"/>
        <v>-4.2253696820032903E-3</v>
      </c>
      <c r="O47" s="2">
        <f t="shared" si="1"/>
        <v>1.53897616595774E-3</v>
      </c>
      <c r="P47" s="2">
        <f>H47</f>
        <v>-1.36289049507274E-3</v>
      </c>
    </row>
    <row r="48" spans="1:16" x14ac:dyDescent="0.3">
      <c r="A48" t="s">
        <v>11</v>
      </c>
      <c r="B48">
        <v>-2.5647697560204699E-2</v>
      </c>
      <c r="C48">
        <v>-2.4333433732279201E-4</v>
      </c>
      <c r="D48">
        <v>0.13746537525453401</v>
      </c>
      <c r="E48">
        <v>2.6306981426629301E-2</v>
      </c>
      <c r="F48">
        <v>2.64159129195621E-2</v>
      </c>
      <c r="G48">
        <v>2.6372507413386499E-2</v>
      </c>
      <c r="H48">
        <v>2.6531282125746E-2</v>
      </c>
      <c r="I48">
        <v>2.6390797320310602E-2</v>
      </c>
      <c r="J48">
        <v>2.6405442756752499E-2</v>
      </c>
      <c r="K48">
        <v>2.6459324885686499E-2</v>
      </c>
      <c r="M48" s="2" t="str">
        <f>A52</f>
        <v>DMTNatalizumab</v>
      </c>
      <c r="N48" s="2">
        <f>B52</f>
        <v>-2.2573875657763001E-2</v>
      </c>
      <c r="O48" s="2">
        <f>C52</f>
        <v>-1.36289049507274E-3</v>
      </c>
      <c r="P48" s="2">
        <f>H52</f>
        <v>5.1912985467160798E-2</v>
      </c>
    </row>
    <row r="49" spans="1:14" x14ac:dyDescent="0.3">
      <c r="A49" t="s">
        <v>12</v>
      </c>
      <c r="B49">
        <v>-2.6468736465847201E-2</v>
      </c>
      <c r="C49">
        <v>5.5706788590907701E-5</v>
      </c>
      <c r="D49">
        <v>2.6306981426629301E-2</v>
      </c>
      <c r="E49">
        <v>0.359651139242322</v>
      </c>
      <c r="F49">
        <v>2.6292868106753998E-2</v>
      </c>
      <c r="G49">
        <v>2.6302804975437601E-2</v>
      </c>
      <c r="H49">
        <v>2.6266456511705401E-2</v>
      </c>
      <c r="I49">
        <v>2.62986178475971E-2</v>
      </c>
      <c r="J49">
        <v>2.6295265052259299E-2</v>
      </c>
      <c r="K49">
        <v>2.62829297591873E-2</v>
      </c>
    </row>
    <row r="50" spans="1:14" x14ac:dyDescent="0.3">
      <c r="A50" t="s">
        <v>13</v>
      </c>
      <c r="B50">
        <v>-2.45771997730918E-2</v>
      </c>
      <c r="C50">
        <v>-6.3323408670902005E-4</v>
      </c>
      <c r="D50">
        <v>2.64159129195621E-2</v>
      </c>
      <c r="E50">
        <v>2.6292868106753998E-2</v>
      </c>
      <c r="F50">
        <v>7.0054603701670506E-2</v>
      </c>
      <c r="G50">
        <v>2.64633877663976E-2</v>
      </c>
      <c r="H50">
        <v>2.68765705546536E-2</v>
      </c>
      <c r="I50">
        <v>2.65109839775797E-2</v>
      </c>
      <c r="J50">
        <v>2.6549096106232701E-2</v>
      </c>
      <c r="K50">
        <v>2.6689314708674299E-2</v>
      </c>
    </row>
    <row r="51" spans="1:14" x14ac:dyDescent="0.3">
      <c r="A51" t="s">
        <v>14</v>
      </c>
      <c r="B51">
        <v>-2.5330913005035101E-2</v>
      </c>
      <c r="C51">
        <v>-3.5871450919888103E-4</v>
      </c>
      <c r="D51">
        <v>2.6372507413386499E-2</v>
      </c>
      <c r="E51">
        <v>2.6302804975437601E-2</v>
      </c>
      <c r="F51">
        <v>2.64633877663976E-2</v>
      </c>
      <c r="G51">
        <v>6.6399400969402E-2</v>
      </c>
      <c r="H51">
        <v>2.6633460796896501E-2</v>
      </c>
      <c r="I51">
        <v>2.6426363275905002E-2</v>
      </c>
      <c r="J51">
        <v>2.6447953038381801E-2</v>
      </c>
      <c r="K51">
        <v>2.6527384086411501E-2</v>
      </c>
    </row>
    <row r="52" spans="1:14" x14ac:dyDescent="0.3">
      <c r="A52" s="2" t="s">
        <v>15</v>
      </c>
      <c r="B52" s="2">
        <v>-2.2573875657763001E-2</v>
      </c>
      <c r="C52" s="2">
        <v>-1.36289049507274E-3</v>
      </c>
      <c r="D52">
        <v>2.6531282125746E-2</v>
      </c>
      <c r="E52">
        <v>2.6266456511705401E-2</v>
      </c>
      <c r="F52">
        <v>2.68765705546536E-2</v>
      </c>
      <c r="G52">
        <v>2.6633460796896501E-2</v>
      </c>
      <c r="H52" s="2">
        <v>5.1912985467160798E-2</v>
      </c>
      <c r="I52">
        <v>2.6735900676844799E-2</v>
      </c>
      <c r="J52">
        <v>2.68179282539736E-2</v>
      </c>
      <c r="K52">
        <v>2.7119716493917E-2</v>
      </c>
    </row>
    <row r="53" spans="1:14" x14ac:dyDescent="0.3">
      <c r="A53" t="s">
        <v>16</v>
      </c>
      <c r="B53">
        <v>-2.50133186241757E-2</v>
      </c>
      <c r="C53">
        <v>-4.74389638091512E-4</v>
      </c>
      <c r="D53">
        <v>2.6390797320310602E-2</v>
      </c>
      <c r="E53">
        <v>2.62986178475971E-2</v>
      </c>
      <c r="F53">
        <v>2.65109839775797E-2</v>
      </c>
      <c r="G53">
        <v>2.6426363275905002E-2</v>
      </c>
      <c r="H53">
        <v>2.6735900676844799E-2</v>
      </c>
      <c r="I53">
        <v>4.82011505868273E-2</v>
      </c>
      <c r="J53">
        <v>2.6490571992980098E-2</v>
      </c>
      <c r="K53">
        <v>2.6595617273172899E-2</v>
      </c>
    </row>
    <row r="54" spans="1:14" x14ac:dyDescent="0.3">
      <c r="A54" t="s">
        <v>17</v>
      </c>
      <c r="B54">
        <v>-2.4759008509943201E-2</v>
      </c>
      <c r="C54">
        <v>-5.6701519136151304E-4</v>
      </c>
      <c r="D54">
        <v>2.6405442756752499E-2</v>
      </c>
      <c r="E54">
        <v>2.6295265052259299E-2</v>
      </c>
      <c r="F54">
        <v>2.6549096106232701E-2</v>
      </c>
      <c r="G54">
        <v>2.6447953038381801E-2</v>
      </c>
      <c r="H54">
        <v>2.68179282539736E-2</v>
      </c>
      <c r="I54">
        <v>2.6490571992980098E-2</v>
      </c>
      <c r="J54">
        <v>0.12652469863962601</v>
      </c>
      <c r="K54">
        <v>2.6650254226990501E-2</v>
      </c>
    </row>
    <row r="55" spans="1:14" x14ac:dyDescent="0.3">
      <c r="A55" t="s">
        <v>18</v>
      </c>
      <c r="B55">
        <v>-2.3823374367617001E-2</v>
      </c>
      <c r="C55">
        <v>-9.0779452038192295E-4</v>
      </c>
      <c r="D55">
        <v>2.6459324885686499E-2</v>
      </c>
      <c r="E55">
        <v>2.62829297591873E-2</v>
      </c>
      <c r="F55">
        <v>2.6689314708674299E-2</v>
      </c>
      <c r="G55">
        <v>2.6527384086411501E-2</v>
      </c>
      <c r="H55">
        <v>2.7119716493917E-2</v>
      </c>
      <c r="I55">
        <v>2.6595617273172899E-2</v>
      </c>
      <c r="J55">
        <v>2.6650254226990501E-2</v>
      </c>
      <c r="K55">
        <v>1.0268512694307299</v>
      </c>
    </row>
    <row r="57" spans="1:14" x14ac:dyDescent="0.3">
      <c r="A57" t="s">
        <v>21</v>
      </c>
      <c r="M57" s="2" t="str">
        <f>A57</f>
        <v>Time to EDSS Decrease (All RRMS)</v>
      </c>
    </row>
    <row r="59" spans="1:14" x14ac:dyDescent="0.3">
      <c r="A59" t="s">
        <v>1</v>
      </c>
    </row>
    <row r="61" spans="1:14" x14ac:dyDescent="0.3">
      <c r="A61" t="s">
        <v>2</v>
      </c>
      <c r="B61" s="2" t="s">
        <v>3</v>
      </c>
      <c r="C61" t="s">
        <v>4</v>
      </c>
      <c r="D61" t="s">
        <v>5</v>
      </c>
      <c r="E61" t="s">
        <v>6</v>
      </c>
      <c r="F61" t="s">
        <v>7</v>
      </c>
      <c r="G61" t="s">
        <v>8</v>
      </c>
    </row>
    <row r="62" spans="1:14" x14ac:dyDescent="0.3">
      <c r="A62" s="2" t="s">
        <v>9</v>
      </c>
      <c r="B62" s="2">
        <v>4.0147493312261604</v>
      </c>
      <c r="C62">
        <v>3.4230571876548002</v>
      </c>
      <c r="D62">
        <v>4.6064414747975198</v>
      </c>
      <c r="E62">
        <v>55.409404254104203</v>
      </c>
      <c r="F62">
        <v>30.663014461892999</v>
      </c>
      <c r="G62">
        <v>100.127209723959</v>
      </c>
      <c r="M62" s="2" t="str">
        <f>A62</f>
        <v>(Intercept)</v>
      </c>
      <c r="N62" s="2" cm="1">
        <f t="array" ref="N62:N63">B62:B63</f>
        <v>4.0147493312261604</v>
      </c>
    </row>
    <row r="63" spans="1:14" x14ac:dyDescent="0.3">
      <c r="A63" s="2" t="s">
        <v>10</v>
      </c>
      <c r="B63" s="2">
        <v>-0.170950249385419</v>
      </c>
      <c r="C63">
        <v>-0.27160492497934402</v>
      </c>
      <c r="D63">
        <v>-7.0295573791494301E-2</v>
      </c>
      <c r="E63">
        <v>0.84286350540594301</v>
      </c>
      <c r="F63">
        <v>0.76215531014233895</v>
      </c>
      <c r="G63">
        <v>0.93211826945418497</v>
      </c>
      <c r="M63" s="2" t="str">
        <f>A63</f>
        <v>BaselineWebEDSS</v>
      </c>
      <c r="N63" s="2">
        <v>-0.170950249385419</v>
      </c>
    </row>
    <row r="64" spans="1:14" x14ac:dyDescent="0.3">
      <c r="A64" t="s">
        <v>11</v>
      </c>
      <c r="B64">
        <v>-0.75625802405182796</v>
      </c>
      <c r="C64">
        <v>-1.6692080232092601</v>
      </c>
      <c r="D64">
        <v>0.15669197510560501</v>
      </c>
      <c r="E64">
        <v>0.46941970184183901</v>
      </c>
      <c r="F64">
        <v>0.18839621199808901</v>
      </c>
      <c r="G64">
        <v>1.1696352816240001</v>
      </c>
      <c r="M64" s="2" t="str">
        <f>A68</f>
        <v>DMTNatalizumab</v>
      </c>
      <c r="N64" s="2">
        <f>B68</f>
        <v>-0.21979191954136901</v>
      </c>
    </row>
    <row r="65" spans="1:16" x14ac:dyDescent="0.3">
      <c r="A65" t="s">
        <v>12</v>
      </c>
      <c r="B65">
        <v>-0.28168804681797399</v>
      </c>
      <c r="C65">
        <v>-1.7352537370007499</v>
      </c>
      <c r="D65">
        <v>1.1718776433647999</v>
      </c>
      <c r="E65">
        <v>0.75450901931390602</v>
      </c>
      <c r="F65">
        <v>0.17635544670664699</v>
      </c>
      <c r="G65">
        <v>3.2280480748235099</v>
      </c>
    </row>
    <row r="66" spans="1:16" x14ac:dyDescent="0.3">
      <c r="A66" s="1" t="s">
        <v>19</v>
      </c>
      <c r="B66">
        <v>0.23847145830450101</v>
      </c>
      <c r="C66">
        <v>-0.52214679567762601</v>
      </c>
      <c r="D66">
        <v>0.99908971228662902</v>
      </c>
      <c r="E66">
        <v>1.26930747733188</v>
      </c>
      <c r="F66">
        <v>0.59324560284055505</v>
      </c>
      <c r="G66">
        <v>2.7158085357838702</v>
      </c>
    </row>
    <row r="67" spans="1:16" x14ac:dyDescent="0.3">
      <c r="A67" t="s">
        <v>14</v>
      </c>
      <c r="B67">
        <v>-0.31283418922404999</v>
      </c>
      <c r="C67">
        <v>-0.91214633199147899</v>
      </c>
      <c r="D67">
        <v>0.28647795354337902</v>
      </c>
      <c r="E67">
        <v>0.73137117173705901</v>
      </c>
      <c r="F67">
        <v>0.40166119991369698</v>
      </c>
      <c r="G67">
        <v>1.33172880766918</v>
      </c>
    </row>
    <row r="68" spans="1:16" x14ac:dyDescent="0.3">
      <c r="A68" s="2" t="s">
        <v>15</v>
      </c>
      <c r="B68" s="2">
        <v>-0.21979191954136901</v>
      </c>
      <c r="C68">
        <v>-0.81367650264490199</v>
      </c>
      <c r="D68">
        <v>0.37409266356216497</v>
      </c>
      <c r="E68">
        <v>0.80268580381674404</v>
      </c>
      <c r="F68">
        <v>0.44322554718499801</v>
      </c>
      <c r="G68">
        <v>1.45367184662757</v>
      </c>
    </row>
    <row r="69" spans="1:16" x14ac:dyDescent="0.3">
      <c r="A69" t="s">
        <v>16</v>
      </c>
      <c r="B69">
        <v>-0.90083200335978697</v>
      </c>
      <c r="C69">
        <v>-1.4630143022528499</v>
      </c>
      <c r="D69">
        <v>-0.33864970446672399</v>
      </c>
      <c r="E69">
        <v>0.40623153309846399</v>
      </c>
      <c r="F69">
        <v>0.23153729839585899</v>
      </c>
      <c r="G69">
        <v>0.71273207222702795</v>
      </c>
    </row>
    <row r="70" spans="1:16" x14ac:dyDescent="0.3">
      <c r="A70" t="s">
        <v>17</v>
      </c>
      <c r="B70">
        <v>-1.6185367997865101</v>
      </c>
      <c r="C70">
        <v>-2.35950277928033</v>
      </c>
      <c r="D70">
        <v>-0.87757082029268496</v>
      </c>
      <c r="E70">
        <v>0.198188476451817</v>
      </c>
      <c r="F70">
        <v>9.44671825612481E-2</v>
      </c>
      <c r="G70">
        <v>0.41579171870428</v>
      </c>
    </row>
    <row r="71" spans="1:16" x14ac:dyDescent="0.3">
      <c r="A71" t="s">
        <v>18</v>
      </c>
      <c r="B71">
        <v>-0.95244759869233697</v>
      </c>
      <c r="C71">
        <v>-2.96382457951501</v>
      </c>
      <c r="D71">
        <v>1.05892938213034</v>
      </c>
      <c r="E71">
        <v>0.38579559411900899</v>
      </c>
      <c r="F71">
        <v>5.1621110109155703E-2</v>
      </c>
      <c r="G71">
        <v>2.8832824425300498</v>
      </c>
    </row>
    <row r="73" spans="1:16" x14ac:dyDescent="0.3">
      <c r="A73" t="s">
        <v>2</v>
      </c>
      <c r="B73" s="2" t="s">
        <v>9</v>
      </c>
      <c r="C73" s="2" t="s">
        <v>10</v>
      </c>
      <c r="D73" t="s">
        <v>11</v>
      </c>
      <c r="E73" t="s">
        <v>12</v>
      </c>
      <c r="F73" t="s">
        <v>13</v>
      </c>
      <c r="G73" t="s">
        <v>14</v>
      </c>
      <c r="H73" s="2" t="s">
        <v>15</v>
      </c>
      <c r="I73" t="s">
        <v>16</v>
      </c>
      <c r="J73" t="s">
        <v>17</v>
      </c>
      <c r="K73" t="s">
        <v>18</v>
      </c>
      <c r="M73" s="2"/>
      <c r="N73" s="2" t="str">
        <f t="shared" ref="N73:O75" si="2">B73</f>
        <v>(Intercept)</v>
      </c>
      <c r="O73" s="2" t="str">
        <f t="shared" si="2"/>
        <v>BaselineWebEDSS</v>
      </c>
      <c r="P73" s="2" t="str">
        <f>H73</f>
        <v>DMTNatalizumab</v>
      </c>
    </row>
    <row r="74" spans="1:16" x14ac:dyDescent="0.3">
      <c r="A74" s="2" t="s">
        <v>9</v>
      </c>
      <c r="B74" s="2">
        <v>9.1137145835865199E-2</v>
      </c>
      <c r="C74" s="2">
        <v>-1.04160472332989E-2</v>
      </c>
      <c r="D74">
        <v>-5.3526968779718902E-2</v>
      </c>
      <c r="E74">
        <v>-4.9261967476192797E-2</v>
      </c>
      <c r="F74">
        <v>-4.5014197075062601E-2</v>
      </c>
      <c r="G74">
        <v>-4.9062038062190401E-2</v>
      </c>
      <c r="H74">
        <v>-4.1362049264345897E-2</v>
      </c>
      <c r="I74">
        <v>-4.9212103015020901E-2</v>
      </c>
      <c r="J74">
        <v>-5.9100688129907403E-2</v>
      </c>
      <c r="K74">
        <v>-3.8614238096523999E-2</v>
      </c>
      <c r="M74" s="2" t="str">
        <f>A74</f>
        <v>(Intercept)</v>
      </c>
      <c r="N74" s="2">
        <f t="shared" si="2"/>
        <v>9.1137145835865199E-2</v>
      </c>
      <c r="O74" s="2">
        <f t="shared" si="2"/>
        <v>-1.04160472332989E-2</v>
      </c>
      <c r="P74" s="2">
        <f>H74</f>
        <v>-4.1362049264345897E-2</v>
      </c>
    </row>
    <row r="75" spans="1:16" x14ac:dyDescent="0.3">
      <c r="A75" s="2" t="s">
        <v>10</v>
      </c>
      <c r="B75" s="2">
        <v>-1.04160472332989E-2</v>
      </c>
      <c r="C75" s="2">
        <v>2.6373740268514898E-3</v>
      </c>
      <c r="D75">
        <v>8.9303894700195295E-4</v>
      </c>
      <c r="E75">
        <v>-1.8687202214644799E-4</v>
      </c>
      <c r="F75">
        <v>-1.2624200757454E-3</v>
      </c>
      <c r="G75">
        <v>-2.37494742251633E-4</v>
      </c>
      <c r="H75">
        <v>-2.1871547243570398E-3</v>
      </c>
      <c r="I75">
        <v>-1.9949785148575699E-4</v>
      </c>
      <c r="J75">
        <v>2.3043212038789001E-3</v>
      </c>
      <c r="K75">
        <v>-2.8829086550360402E-3</v>
      </c>
      <c r="M75" s="2" t="str">
        <f>A75</f>
        <v>BaselineWebEDSS</v>
      </c>
      <c r="N75" s="2">
        <f t="shared" si="2"/>
        <v>-1.04160472332989E-2</v>
      </c>
      <c r="O75" s="2">
        <f t="shared" si="2"/>
        <v>2.6373740268514898E-3</v>
      </c>
      <c r="P75" s="2">
        <f>H75</f>
        <v>-2.1871547243570398E-3</v>
      </c>
    </row>
    <row r="76" spans="1:16" x14ac:dyDescent="0.3">
      <c r="A76" t="s">
        <v>11</v>
      </c>
      <c r="B76">
        <v>-5.3526968779718902E-2</v>
      </c>
      <c r="C76">
        <v>8.9303894700195295E-4</v>
      </c>
      <c r="D76">
        <v>0.216969057815112</v>
      </c>
      <c r="E76">
        <v>4.9936723425580101E-2</v>
      </c>
      <c r="F76">
        <v>4.9572533025789699E-2</v>
      </c>
      <c r="G76">
        <v>4.9919582109939402E-2</v>
      </c>
      <c r="H76">
        <v>4.9259409423128703E-2</v>
      </c>
      <c r="I76">
        <v>4.9932448204385402E-2</v>
      </c>
      <c r="J76">
        <v>5.0780264217556499E-2</v>
      </c>
      <c r="K76">
        <v>4.9023820784088401E-2</v>
      </c>
      <c r="M76" s="2" t="str">
        <f>A80</f>
        <v>DMTNatalizumab</v>
      </c>
      <c r="N76" s="2">
        <f>B80</f>
        <v>-4.1362049264345897E-2</v>
      </c>
      <c r="O76" s="2">
        <f>C80</f>
        <v>-2.1871547243570398E-3</v>
      </c>
      <c r="P76" s="2">
        <f>H80</f>
        <v>9.1813791195170996E-2</v>
      </c>
    </row>
    <row r="77" spans="1:16" x14ac:dyDescent="0.3">
      <c r="A77" t="s">
        <v>12</v>
      </c>
      <c r="B77">
        <v>-4.9261967476192797E-2</v>
      </c>
      <c r="C77">
        <v>-1.8687202214644799E-4</v>
      </c>
      <c r="D77">
        <v>4.9936723425580101E-2</v>
      </c>
      <c r="E77">
        <v>0.55001324087986903</v>
      </c>
      <c r="F77">
        <v>5.0089449198312298E-2</v>
      </c>
      <c r="G77">
        <v>5.0016827769698402E-2</v>
      </c>
      <c r="H77">
        <v>5.0154971582310803E-2</v>
      </c>
      <c r="I77">
        <v>5.0014135487246099E-2</v>
      </c>
      <c r="J77">
        <v>4.9836726547444199E-2</v>
      </c>
      <c r="K77">
        <v>5.0204269460661997E-2</v>
      </c>
    </row>
    <row r="78" spans="1:16" x14ac:dyDescent="0.3">
      <c r="A78" t="s">
        <v>13</v>
      </c>
      <c r="B78">
        <v>-4.5014197075062601E-2</v>
      </c>
      <c r="C78">
        <v>-1.2624200757454E-3</v>
      </c>
      <c r="D78">
        <v>4.9572533025789699E-2</v>
      </c>
      <c r="E78">
        <v>5.0089449198312298E-2</v>
      </c>
      <c r="F78">
        <v>0.15060427699346801</v>
      </c>
      <c r="G78">
        <v>5.0113680550217303E-2</v>
      </c>
      <c r="H78">
        <v>5.10469156079787E-2</v>
      </c>
      <c r="I78">
        <v>5.0095492747793201E-2</v>
      </c>
      <c r="J78">
        <v>4.8897000835252599E-2</v>
      </c>
      <c r="K78">
        <v>5.13799490423439E-2</v>
      </c>
    </row>
    <row r="79" spans="1:16" x14ac:dyDescent="0.3">
      <c r="A79" t="s">
        <v>14</v>
      </c>
      <c r="B79">
        <v>-4.9062038062190401E-2</v>
      </c>
      <c r="C79">
        <v>-2.37494742251633E-4</v>
      </c>
      <c r="D79">
        <v>4.9919582109939402E-2</v>
      </c>
      <c r="E79">
        <v>5.0016827769698402E-2</v>
      </c>
      <c r="F79">
        <v>5.0113680550217303E-2</v>
      </c>
      <c r="G79">
        <v>9.3499647200067204E-2</v>
      </c>
      <c r="H79">
        <v>5.01969526287269E-2</v>
      </c>
      <c r="I79">
        <v>5.0017964721853901E-2</v>
      </c>
      <c r="J79">
        <v>4.9792496564837002E-2</v>
      </c>
      <c r="K79">
        <v>5.0259605062077203E-2</v>
      </c>
    </row>
    <row r="80" spans="1:16" x14ac:dyDescent="0.3">
      <c r="A80" s="2" t="s">
        <v>15</v>
      </c>
      <c r="B80" s="2">
        <v>-4.1362049264345897E-2</v>
      </c>
      <c r="C80" s="2">
        <v>-2.1871547243570398E-3</v>
      </c>
      <c r="D80">
        <v>4.9259409423128703E-2</v>
      </c>
      <c r="E80">
        <v>5.0154971582310803E-2</v>
      </c>
      <c r="F80">
        <v>5.10469156079787E-2</v>
      </c>
      <c r="G80">
        <v>5.01969526287269E-2</v>
      </c>
      <c r="H80" s="2">
        <v>9.1813791195170996E-2</v>
      </c>
      <c r="I80">
        <v>5.0165442088961398E-2</v>
      </c>
      <c r="J80">
        <v>4.8089043512149203E-2</v>
      </c>
      <c r="K80">
        <v>5.2390774770872402E-2</v>
      </c>
    </row>
    <row r="81" spans="1:14" x14ac:dyDescent="0.3">
      <c r="A81" t="s">
        <v>16</v>
      </c>
      <c r="B81">
        <v>-4.9212103015020901E-2</v>
      </c>
      <c r="C81">
        <v>-1.9949785148575699E-4</v>
      </c>
      <c r="D81">
        <v>4.9932448204385402E-2</v>
      </c>
      <c r="E81">
        <v>5.0014135487246099E-2</v>
      </c>
      <c r="F81">
        <v>5.0095492747793201E-2</v>
      </c>
      <c r="G81">
        <v>5.0017964721853901E-2</v>
      </c>
      <c r="H81">
        <v>5.0165442088961398E-2</v>
      </c>
      <c r="I81">
        <v>8.2273155054043201E-2</v>
      </c>
      <c r="J81">
        <v>4.9825695132875401E-2</v>
      </c>
      <c r="K81">
        <v>5.0218070731285203E-2</v>
      </c>
    </row>
    <row r="82" spans="1:14" x14ac:dyDescent="0.3">
      <c r="A82" t="s">
        <v>17</v>
      </c>
      <c r="B82">
        <v>-5.9100688129907403E-2</v>
      </c>
      <c r="C82">
        <v>2.3043212038789001E-3</v>
      </c>
      <c r="D82">
        <v>5.0780264217556499E-2</v>
      </c>
      <c r="E82">
        <v>4.9836726547444199E-2</v>
      </c>
      <c r="F82">
        <v>4.8897000835252599E-2</v>
      </c>
      <c r="G82">
        <v>4.9792496564837002E-2</v>
      </c>
      <c r="H82">
        <v>4.8089043512149203E-2</v>
      </c>
      <c r="I82">
        <v>4.9825695132875401E-2</v>
      </c>
      <c r="J82">
        <v>0.14292241786104501</v>
      </c>
      <c r="K82">
        <v>4.7481150767766697E-2</v>
      </c>
    </row>
    <row r="83" spans="1:14" x14ac:dyDescent="0.3">
      <c r="A83" t="s">
        <v>18</v>
      </c>
      <c r="B83">
        <v>-3.8614238096523999E-2</v>
      </c>
      <c r="C83">
        <v>-2.8829086550360402E-3</v>
      </c>
      <c r="D83">
        <v>4.9023820784088401E-2</v>
      </c>
      <c r="E83">
        <v>5.0204269460661997E-2</v>
      </c>
      <c r="F83">
        <v>5.13799490423439E-2</v>
      </c>
      <c r="G83">
        <v>5.0259605062077203E-2</v>
      </c>
      <c r="H83">
        <v>5.2390774770872402E-2</v>
      </c>
      <c r="I83">
        <v>5.0218070731285203E-2</v>
      </c>
      <c r="J83">
        <v>4.7481150767766697E-2</v>
      </c>
      <c r="K83">
        <v>1.05315130210151</v>
      </c>
    </row>
    <row r="85" spans="1:14" x14ac:dyDescent="0.3">
      <c r="A85" t="s">
        <v>22</v>
      </c>
      <c r="M85" s="2" t="str">
        <f>A85</f>
        <v>Time to EDSS Increase (SPMS)</v>
      </c>
    </row>
    <row r="87" spans="1:14" x14ac:dyDescent="0.3">
      <c r="A87" t="s">
        <v>1</v>
      </c>
    </row>
    <row r="89" spans="1:14" x14ac:dyDescent="0.3">
      <c r="A89" t="s">
        <v>2</v>
      </c>
      <c r="B89" s="2" t="s">
        <v>3</v>
      </c>
      <c r="C89" t="s">
        <v>4</v>
      </c>
      <c r="D89" t="s">
        <v>5</v>
      </c>
      <c r="E89" t="s">
        <v>6</v>
      </c>
      <c r="F89" t="s">
        <v>7</v>
      </c>
      <c r="G89" t="s">
        <v>8</v>
      </c>
    </row>
    <row r="90" spans="1:14" x14ac:dyDescent="0.3">
      <c r="A90" s="2" t="s">
        <v>9</v>
      </c>
      <c r="B90" s="2">
        <v>2.6882085790951802</v>
      </c>
      <c r="C90">
        <v>1.24706626155932</v>
      </c>
      <c r="D90">
        <v>4.1293508966310499</v>
      </c>
      <c r="E90">
        <v>14.7053089124917</v>
      </c>
      <c r="F90">
        <v>3.4801182098574599</v>
      </c>
      <c r="G90">
        <v>62.137576131549302</v>
      </c>
      <c r="M90" s="2" t="str">
        <f>A90</f>
        <v>(Intercept)</v>
      </c>
      <c r="N90" s="2" cm="1">
        <f t="array" ref="N90:N91">B90:B91</f>
        <v>2.6882085790951802</v>
      </c>
    </row>
    <row r="91" spans="1:14" x14ac:dyDescent="0.3">
      <c r="A91" s="2" t="s">
        <v>10</v>
      </c>
      <c r="B91" s="2">
        <v>0.16296159382235001</v>
      </c>
      <c r="C91">
        <v>-5.4841054042179802E-2</v>
      </c>
      <c r="D91">
        <v>0.38076424168688</v>
      </c>
      <c r="E91">
        <v>1.1769914850763401</v>
      </c>
      <c r="F91">
        <v>0.94663559989843504</v>
      </c>
      <c r="G91">
        <v>1.46340255541924</v>
      </c>
      <c r="M91" s="2" t="str">
        <f>A91</f>
        <v>BaselineWebEDSS</v>
      </c>
      <c r="N91" s="2">
        <v>0.16296159382235001</v>
      </c>
    </row>
    <row r="92" spans="1:14" x14ac:dyDescent="0.3">
      <c r="A92" t="s">
        <v>11</v>
      </c>
      <c r="B92">
        <v>-0.48284555733061901</v>
      </c>
      <c r="C92">
        <v>-2.56376117557976</v>
      </c>
      <c r="D92">
        <v>1.5980700609185201</v>
      </c>
      <c r="E92">
        <v>0.61702511102033997</v>
      </c>
      <c r="F92">
        <v>7.7014529849963903E-2</v>
      </c>
      <c r="G92">
        <v>4.9434825918091496</v>
      </c>
      <c r="M92" s="2" t="str">
        <f>A96</f>
        <v>DMTNatalizumab</v>
      </c>
      <c r="N92" s="2">
        <f>B96</f>
        <v>-1.3716828038709401</v>
      </c>
    </row>
    <row r="93" spans="1:14" x14ac:dyDescent="0.3">
      <c r="A93" t="s">
        <v>12</v>
      </c>
      <c r="B93">
        <v>-0.93919475067184</v>
      </c>
      <c r="C93">
        <v>-2.4894943253047699</v>
      </c>
      <c r="D93">
        <v>0.61110482396109</v>
      </c>
      <c r="E93">
        <v>0.390942514841221</v>
      </c>
      <c r="F93">
        <v>8.2951902649364195E-2</v>
      </c>
      <c r="G93">
        <v>1.8424658751519301</v>
      </c>
    </row>
    <row r="94" spans="1:14" x14ac:dyDescent="0.3">
      <c r="A94" t="s">
        <v>19</v>
      </c>
      <c r="B94">
        <v>-0.90678055374078803</v>
      </c>
      <c r="C94">
        <v>-1.8714709133404299</v>
      </c>
      <c r="D94">
        <v>5.7909805858848903E-2</v>
      </c>
      <c r="E94">
        <v>0.403822217429811</v>
      </c>
      <c r="F94">
        <v>0.153897125913077</v>
      </c>
      <c r="G94">
        <v>1.05961941993664</v>
      </c>
    </row>
    <row r="95" spans="1:14" x14ac:dyDescent="0.3">
      <c r="A95" t="s">
        <v>14</v>
      </c>
      <c r="B95">
        <v>0.14910059364474099</v>
      </c>
      <c r="C95">
        <v>-1.4009688700454399</v>
      </c>
      <c r="D95">
        <v>1.69917005733492</v>
      </c>
      <c r="E95">
        <v>1.16078975140809</v>
      </c>
      <c r="F95">
        <v>0.24635815923399201</v>
      </c>
      <c r="G95">
        <v>5.46940621395966</v>
      </c>
    </row>
    <row r="96" spans="1:14" x14ac:dyDescent="0.3">
      <c r="A96" s="2" t="s">
        <v>15</v>
      </c>
      <c r="B96" s="2">
        <v>-1.3716828038709401</v>
      </c>
      <c r="C96">
        <v>-2.3018284909267499</v>
      </c>
      <c r="D96">
        <v>-0.44153711681512797</v>
      </c>
      <c r="E96">
        <v>0.25367970696960901</v>
      </c>
      <c r="F96">
        <v>0.100075688836284</v>
      </c>
      <c r="G96">
        <v>0.64304722232253098</v>
      </c>
    </row>
    <row r="97" spans="1:16" x14ac:dyDescent="0.3">
      <c r="A97" t="s">
        <v>16</v>
      </c>
      <c r="B97">
        <v>-0.67819378844817901</v>
      </c>
      <c r="C97">
        <v>-2.0103100081132901</v>
      </c>
      <c r="D97">
        <v>0.65392243121693505</v>
      </c>
      <c r="E97">
        <v>0.507532876721002</v>
      </c>
      <c r="F97">
        <v>0.133947143530396</v>
      </c>
      <c r="G97">
        <v>1.9230691611892601</v>
      </c>
    </row>
    <row r="98" spans="1:16" x14ac:dyDescent="0.3">
      <c r="A98" t="s">
        <v>17</v>
      </c>
      <c r="B98">
        <v>16.4775077979583</v>
      </c>
      <c r="C98">
        <v>-10899.3429347048</v>
      </c>
      <c r="D98">
        <v>10932.297950300701</v>
      </c>
      <c r="E98">
        <v>14324870.751740601</v>
      </c>
      <c r="F98">
        <v>0</v>
      </c>
      <c r="G98" s="3" t="e">
        <v>#NUM!</v>
      </c>
    </row>
    <row r="101" spans="1:16" x14ac:dyDescent="0.3">
      <c r="A101" s="2" t="s">
        <v>2</v>
      </c>
      <c r="B101" s="2" t="s">
        <v>9</v>
      </c>
      <c r="C101" s="2" t="s">
        <v>10</v>
      </c>
      <c r="D101" t="s">
        <v>11</v>
      </c>
      <c r="E101" t="s">
        <v>12</v>
      </c>
      <c r="F101" t="s">
        <v>13</v>
      </c>
      <c r="G101" t="s">
        <v>14</v>
      </c>
      <c r="H101" s="2" t="s">
        <v>15</v>
      </c>
      <c r="I101" t="s">
        <v>16</v>
      </c>
      <c r="J101" t="s">
        <v>17</v>
      </c>
      <c r="M101" s="2"/>
      <c r="N101" s="2" t="str">
        <f t="shared" ref="N101:O103" si="3">B101</f>
        <v>(Intercept)</v>
      </c>
      <c r="O101" s="2" t="str">
        <f t="shared" si="3"/>
        <v>BaselineWebEDSS</v>
      </c>
      <c r="P101" s="2" t="str">
        <f>H101</f>
        <v>DMTNatalizumab</v>
      </c>
    </row>
    <row r="102" spans="1:16" x14ac:dyDescent="0.3">
      <c r="A102" s="2" t="s">
        <v>9</v>
      </c>
      <c r="B102" s="2">
        <v>0.54065168373127903</v>
      </c>
      <c r="C102" s="2">
        <v>-7.1644001823843298E-2</v>
      </c>
      <c r="D102">
        <v>-0.15544896628125299</v>
      </c>
      <c r="E102">
        <v>-0.14150285158391701</v>
      </c>
      <c r="F102">
        <v>-0.17555025377491101</v>
      </c>
      <c r="G102">
        <v>-0.11103038922535099</v>
      </c>
      <c r="H102">
        <v>-0.134549261706708</v>
      </c>
      <c r="I102">
        <v>-8.6267407756168604E-2</v>
      </c>
      <c r="J102">
        <v>-9.8291327471157E-2</v>
      </c>
      <c r="M102" s="2" t="str">
        <f>A102</f>
        <v>(Intercept)</v>
      </c>
      <c r="N102" s="2">
        <f t="shared" si="3"/>
        <v>0.54065168373127903</v>
      </c>
      <c r="O102" s="2">
        <f t="shared" si="3"/>
        <v>-7.1644001823843298E-2</v>
      </c>
      <c r="P102" s="2">
        <f>H102</f>
        <v>-0.134549261706708</v>
      </c>
    </row>
    <row r="103" spans="1:16" x14ac:dyDescent="0.3">
      <c r="A103" s="2" t="s">
        <v>10</v>
      </c>
      <c r="B103" s="2">
        <v>-7.1644001823843298E-2</v>
      </c>
      <c r="C103" s="2">
        <v>1.23489527367181E-2</v>
      </c>
      <c r="D103">
        <v>5.2483506771948104E-3</v>
      </c>
      <c r="E103">
        <v>2.8445219284644E-3</v>
      </c>
      <c r="F103">
        <v>8.7131187371464799E-3</v>
      </c>
      <c r="G103">
        <v>-2.40787866136588E-3</v>
      </c>
      <c r="H103">
        <v>1.64596307415429E-3</v>
      </c>
      <c r="I103">
        <v>-6.6761618392799302E-3</v>
      </c>
      <c r="J103">
        <v>-4.6036531506171803E-3</v>
      </c>
      <c r="M103" s="2" t="str">
        <f>A103</f>
        <v>BaselineWebEDSS</v>
      </c>
      <c r="N103" s="2">
        <f t="shared" si="3"/>
        <v>-7.1644001823843298E-2</v>
      </c>
      <c r="O103" s="2">
        <f t="shared" si="3"/>
        <v>1.23489527367181E-2</v>
      </c>
      <c r="P103" s="2">
        <f>H103</f>
        <v>1.64596307415429E-3</v>
      </c>
    </row>
    <row r="104" spans="1:16" x14ac:dyDescent="0.3">
      <c r="A104" t="s">
        <v>11</v>
      </c>
      <c r="B104">
        <v>-0.15544896628125299</v>
      </c>
      <c r="C104">
        <v>5.2483506771948104E-3</v>
      </c>
      <c r="D104">
        <v>1.12723056848772</v>
      </c>
      <c r="E104">
        <v>0.12620893236113501</v>
      </c>
      <c r="F104">
        <v>0.12870310775330801</v>
      </c>
      <c r="G104">
        <v>0.12397664264554099</v>
      </c>
      <c r="H104">
        <v>0.12569954040630399</v>
      </c>
      <c r="I104">
        <v>0.12216260647706</v>
      </c>
      <c r="J104">
        <v>0.12304343035027</v>
      </c>
      <c r="M104" s="2" t="str">
        <f>A108</f>
        <v>DMTNatalizumab</v>
      </c>
      <c r="N104" s="2">
        <f>B108</f>
        <v>-0.134549261706708</v>
      </c>
      <c r="O104" s="2">
        <f>C108</f>
        <v>1.64596307415429E-3</v>
      </c>
      <c r="P104" s="2">
        <f>H108</f>
        <v>0.22521938657465401</v>
      </c>
    </row>
    <row r="105" spans="1:16" x14ac:dyDescent="0.3">
      <c r="A105" t="s">
        <v>12</v>
      </c>
      <c r="B105">
        <v>-0.14150285158391701</v>
      </c>
      <c r="C105">
        <v>2.8445219284644E-3</v>
      </c>
      <c r="D105">
        <v>0.12620893236113501</v>
      </c>
      <c r="E105">
        <v>0.62565522195881895</v>
      </c>
      <c r="F105">
        <v>0.127007025036174</v>
      </c>
      <c r="G105">
        <v>0.124445356719767</v>
      </c>
      <c r="H105">
        <v>0.12537913968558201</v>
      </c>
      <c r="I105">
        <v>0.123462178198047</v>
      </c>
      <c r="J105">
        <v>0.12393957061645899</v>
      </c>
    </row>
    <row r="106" spans="1:16" x14ac:dyDescent="0.3">
      <c r="A106" t="s">
        <v>13</v>
      </c>
      <c r="B106">
        <v>-0.17555025377491101</v>
      </c>
      <c r="C106">
        <v>8.7131187371464799E-3</v>
      </c>
      <c r="D106">
        <v>0.12870310775330801</v>
      </c>
      <c r="E106">
        <v>0.127007025036174</v>
      </c>
      <c r="F106">
        <v>0.24225887438676699</v>
      </c>
      <c r="G106">
        <v>0.123301059763656</v>
      </c>
      <c r="H106">
        <v>0.126161351250412</v>
      </c>
      <c r="I106">
        <v>0.120289463644873</v>
      </c>
      <c r="J106">
        <v>0.12175177503864799</v>
      </c>
    </row>
    <row r="107" spans="1:16" x14ac:dyDescent="0.3">
      <c r="A107" t="s">
        <v>14</v>
      </c>
      <c r="B107">
        <v>-0.11103038922535099</v>
      </c>
      <c r="C107">
        <v>-2.40787866136588E-3</v>
      </c>
      <c r="D107">
        <v>0.12397664264554099</v>
      </c>
      <c r="E107">
        <v>0.124445356719767</v>
      </c>
      <c r="F107">
        <v>0.123301059763656</v>
      </c>
      <c r="G107">
        <v>0.62546950375237997</v>
      </c>
      <c r="H107">
        <v>0.12467905947588</v>
      </c>
      <c r="I107">
        <v>0.12630176120804401</v>
      </c>
      <c r="J107">
        <v>0.125897650061672</v>
      </c>
    </row>
    <row r="108" spans="1:16" x14ac:dyDescent="0.3">
      <c r="A108" s="2" t="s">
        <v>15</v>
      </c>
      <c r="B108" s="2">
        <v>-0.134549261706708</v>
      </c>
      <c r="C108" s="2">
        <v>1.64596307415429E-3</v>
      </c>
      <c r="D108">
        <v>0.12569954040630399</v>
      </c>
      <c r="E108">
        <v>0.12537913968558201</v>
      </c>
      <c r="F108">
        <v>0.126161351250412</v>
      </c>
      <c r="G108">
        <v>0.12467905947588</v>
      </c>
      <c r="H108" s="2">
        <v>0.22521938657465401</v>
      </c>
      <c r="I108">
        <v>0.124110149977993</v>
      </c>
      <c r="J108">
        <v>0.124386389821576</v>
      </c>
    </row>
    <row r="109" spans="1:16" x14ac:dyDescent="0.3">
      <c r="A109" t="s">
        <v>16</v>
      </c>
      <c r="B109">
        <v>-8.6267407756168604E-2</v>
      </c>
      <c r="C109">
        <v>-6.6761618392799302E-3</v>
      </c>
      <c r="D109">
        <v>0.12216260647706</v>
      </c>
      <c r="E109">
        <v>0.123462178198047</v>
      </c>
      <c r="F109">
        <v>0.120289463644873</v>
      </c>
      <c r="G109">
        <v>0.12630176120804401</v>
      </c>
      <c r="H109">
        <v>0.124110149977993</v>
      </c>
      <c r="I109">
        <v>0.46194263833712801</v>
      </c>
      <c r="J109">
        <v>0.127488853438887</v>
      </c>
    </row>
    <row r="110" spans="1:16" x14ac:dyDescent="0.3">
      <c r="A110" t="s">
        <v>17</v>
      </c>
      <c r="B110">
        <v>-9.8291327471157E-2</v>
      </c>
      <c r="C110">
        <v>-4.6036531506171803E-3</v>
      </c>
      <c r="D110">
        <v>0.12304343035027</v>
      </c>
      <c r="E110">
        <v>0.12393957061645899</v>
      </c>
      <c r="F110">
        <v>0.12175177503864799</v>
      </c>
      <c r="G110">
        <v>0.125897650061672</v>
      </c>
      <c r="H110">
        <v>0.124386389821576</v>
      </c>
      <c r="I110">
        <v>0.127488853438887</v>
      </c>
      <c r="J110">
        <v>31018199.463981599</v>
      </c>
    </row>
    <row r="113" spans="1:14" x14ac:dyDescent="0.3">
      <c r="A113" t="s">
        <v>23</v>
      </c>
      <c r="M113" s="2" t="str">
        <f>A113</f>
        <v>Time to EDSS Decrease (SPMS)</v>
      </c>
    </row>
    <row r="115" spans="1:14" x14ac:dyDescent="0.3">
      <c r="A115" t="s">
        <v>1</v>
      </c>
    </row>
    <row r="117" spans="1:14" x14ac:dyDescent="0.3">
      <c r="A117" t="s">
        <v>2</v>
      </c>
      <c r="B117" s="2" t="s">
        <v>3</v>
      </c>
      <c r="C117" t="s">
        <v>4</v>
      </c>
      <c r="D117" t="s">
        <v>5</v>
      </c>
      <c r="E117" t="s">
        <v>6</v>
      </c>
      <c r="F117" t="s">
        <v>7</v>
      </c>
      <c r="G117" t="s">
        <v>8</v>
      </c>
    </row>
    <row r="118" spans="1:14" x14ac:dyDescent="0.3">
      <c r="A118" s="2" t="s">
        <v>9</v>
      </c>
      <c r="B118" s="2">
        <v>10.4730094933426</v>
      </c>
      <c r="C118">
        <v>4.79241579049308</v>
      </c>
      <c r="D118">
        <v>16.153603196192002</v>
      </c>
      <c r="E118">
        <v>35348.438342826397</v>
      </c>
      <c r="F118">
        <v>120.592342890811</v>
      </c>
      <c r="G118">
        <v>10361454.660582799</v>
      </c>
      <c r="M118" s="2" t="str">
        <f>A118</f>
        <v>(Intercept)</v>
      </c>
      <c r="N118" s="2" cm="1">
        <f t="array" ref="N118:N119">B118:B119</f>
        <v>10.4730094933426</v>
      </c>
    </row>
    <row r="119" spans="1:14" x14ac:dyDescent="0.3">
      <c r="A119" s="2" t="s">
        <v>10</v>
      </c>
      <c r="B119" s="2">
        <v>-1.0038588785965801</v>
      </c>
      <c r="C119">
        <v>-1.8358159293604599</v>
      </c>
      <c r="D119">
        <v>-0.171901827832702</v>
      </c>
      <c r="E119">
        <v>0.36646257458606002</v>
      </c>
      <c r="F119">
        <v>0.15948332154185599</v>
      </c>
      <c r="G119">
        <v>0.84206183614628505</v>
      </c>
      <c r="M119" s="2" t="str">
        <f>A119</f>
        <v>BaselineWebEDSS</v>
      </c>
      <c r="N119" s="2">
        <v>-1.0038588785965801</v>
      </c>
    </row>
    <row r="120" spans="1:14" x14ac:dyDescent="0.3">
      <c r="A120" t="s">
        <v>11</v>
      </c>
      <c r="B120">
        <v>19.3878371675493</v>
      </c>
      <c r="C120">
        <v>-55075.433683312498</v>
      </c>
      <c r="D120">
        <v>55114.209357647604</v>
      </c>
      <c r="E120">
        <v>263045391.774784</v>
      </c>
      <c r="F120">
        <v>0</v>
      </c>
      <c r="G120" s="3" t="e">
        <v>#NUM!</v>
      </c>
      <c r="M120" s="2" t="str">
        <f>A124</f>
        <v>DMTNatalizumab</v>
      </c>
      <c r="N120" s="2">
        <f>B124</f>
        <v>-4.6203853215186698E-2</v>
      </c>
    </row>
    <row r="121" spans="1:14" x14ac:dyDescent="0.3">
      <c r="A121" t="s">
        <v>12</v>
      </c>
      <c r="B121">
        <v>19.166996881222399</v>
      </c>
      <c r="C121">
        <v>-37500.435440928697</v>
      </c>
      <c r="D121">
        <v>37538.769434691101</v>
      </c>
      <c r="E121">
        <v>210921562.62682599</v>
      </c>
      <c r="F121">
        <v>0</v>
      </c>
      <c r="G121" s="3" t="e">
        <v>#NUM!</v>
      </c>
    </row>
    <row r="122" spans="1:14" x14ac:dyDescent="0.3">
      <c r="A122" s="1" t="s">
        <v>19</v>
      </c>
      <c r="B122">
        <v>18.778644734926601</v>
      </c>
      <c r="C122">
        <v>-16750.798181006699</v>
      </c>
      <c r="D122">
        <v>16788.355470476599</v>
      </c>
      <c r="E122">
        <v>143041411.17339599</v>
      </c>
      <c r="F122">
        <v>0</v>
      </c>
      <c r="G122" s="3" t="e">
        <v>#NUM!</v>
      </c>
    </row>
    <row r="123" spans="1:14" x14ac:dyDescent="0.3">
      <c r="A123" t="s">
        <v>14</v>
      </c>
      <c r="B123">
        <v>-0.80832702616655805</v>
      </c>
      <c r="C123">
        <v>-2.23901083487491</v>
      </c>
      <c r="D123">
        <v>0.62235678254179505</v>
      </c>
      <c r="E123">
        <v>0.44560292501823601</v>
      </c>
      <c r="F123">
        <v>0.10656386151826699</v>
      </c>
      <c r="G123">
        <v>1.8633142976971599</v>
      </c>
    </row>
    <row r="124" spans="1:14" x14ac:dyDescent="0.3">
      <c r="A124" s="2" t="s">
        <v>15</v>
      </c>
      <c r="B124" s="2">
        <v>-4.6203853215186698E-2</v>
      </c>
      <c r="C124">
        <v>-1.6507979018022001</v>
      </c>
      <c r="D124">
        <v>1.55839019537183</v>
      </c>
      <c r="E124">
        <v>0.95484729365866094</v>
      </c>
      <c r="F124">
        <v>0.19189673277032299</v>
      </c>
      <c r="G124">
        <v>4.75116663553883</v>
      </c>
    </row>
    <row r="125" spans="1:14" x14ac:dyDescent="0.3">
      <c r="A125" t="s">
        <v>16</v>
      </c>
      <c r="B125">
        <v>-1.0580652841681299</v>
      </c>
      <c r="C125">
        <v>-2.4441305198341898</v>
      </c>
      <c r="D125">
        <v>0.32799995149792599</v>
      </c>
      <c r="E125">
        <v>0.34712675270347698</v>
      </c>
      <c r="F125">
        <v>8.6801574347683902E-2</v>
      </c>
      <c r="G125">
        <v>1.3881889049593701</v>
      </c>
    </row>
    <row r="126" spans="1:14" x14ac:dyDescent="0.3">
      <c r="A126" t="s">
        <v>17</v>
      </c>
      <c r="B126">
        <v>19.0107881478888</v>
      </c>
      <c r="C126">
        <v>-48600.360454609603</v>
      </c>
      <c r="D126">
        <v>48638.382030905399</v>
      </c>
      <c r="E126">
        <v>180418218.12603199</v>
      </c>
      <c r="F126">
        <v>0</v>
      </c>
      <c r="G126" s="3" t="e">
        <v>#NUM!</v>
      </c>
    </row>
    <row r="129" spans="1:16" x14ac:dyDescent="0.3">
      <c r="A129" s="2" t="s">
        <v>2</v>
      </c>
      <c r="B129" s="2" t="s">
        <v>9</v>
      </c>
      <c r="C129" s="2" t="s">
        <v>10</v>
      </c>
      <c r="D129" t="s">
        <v>11</v>
      </c>
      <c r="E129" t="s">
        <v>12</v>
      </c>
      <c r="F129" t="s">
        <v>13</v>
      </c>
      <c r="G129" t="s">
        <v>14</v>
      </c>
      <c r="H129" s="2" t="s">
        <v>15</v>
      </c>
      <c r="I129" t="s">
        <v>16</v>
      </c>
      <c r="J129" t="s">
        <v>17</v>
      </c>
      <c r="M129" s="2"/>
      <c r="N129" s="2" t="str">
        <f t="shared" ref="N129:O131" si="4">B129</f>
        <v>(Intercept)</v>
      </c>
      <c r="O129" s="2" t="str">
        <f t="shared" si="4"/>
        <v>BaselineWebEDSS</v>
      </c>
      <c r="P129" s="2" t="str">
        <f>H129</f>
        <v>DMTNatalizumab</v>
      </c>
    </row>
    <row r="130" spans="1:16" x14ac:dyDescent="0.3">
      <c r="A130" s="2" t="s">
        <v>9</v>
      </c>
      <c r="B130" s="2">
        <v>8.4002318710323802</v>
      </c>
      <c r="C130" s="2">
        <v>-1.2179985752128999</v>
      </c>
      <c r="D130">
        <v>-0.42224204862088199</v>
      </c>
      <c r="E130">
        <v>-8.0443949706088702E-2</v>
      </c>
      <c r="F130">
        <v>-0.46743439362957401</v>
      </c>
      <c r="G130">
        <v>-0.68660217301558002</v>
      </c>
      <c r="H130">
        <v>-0.33833474337350999</v>
      </c>
      <c r="I130">
        <v>-0.19763423128646401</v>
      </c>
      <c r="J130">
        <v>-0.64239282650444296</v>
      </c>
      <c r="M130" s="2" t="str">
        <f>A130</f>
        <v>(Intercept)</v>
      </c>
      <c r="N130" s="2">
        <f t="shared" si="4"/>
        <v>8.4002318710323802</v>
      </c>
      <c r="O130" s="2">
        <f t="shared" si="4"/>
        <v>-1.2179985752128999</v>
      </c>
      <c r="P130" s="2">
        <f>H130</f>
        <v>-0.33833474337350999</v>
      </c>
    </row>
    <row r="131" spans="1:16" x14ac:dyDescent="0.3">
      <c r="A131" s="2" t="s">
        <v>10</v>
      </c>
      <c r="B131" s="2">
        <v>-1.2179985752128999</v>
      </c>
      <c r="C131" s="2">
        <v>0.180179605359056</v>
      </c>
      <c r="D131">
        <v>3.7807492058807297E-2</v>
      </c>
      <c r="E131">
        <v>-1.27550026995942E-2</v>
      </c>
      <c r="F131">
        <v>4.44928355843471E-2</v>
      </c>
      <c r="G131">
        <v>7.6914518828343006E-2</v>
      </c>
      <c r="H131">
        <v>2.5395010259663401E-2</v>
      </c>
      <c r="I131">
        <v>4.5810591947128103E-3</v>
      </c>
      <c r="J131">
        <v>7.0374591139046705E-2</v>
      </c>
      <c r="M131" s="2" t="str">
        <f>A131</f>
        <v>BaselineWebEDSS</v>
      </c>
      <c r="N131" s="2">
        <f t="shared" si="4"/>
        <v>-1.2179985752128999</v>
      </c>
      <c r="O131" s="2">
        <f t="shared" si="4"/>
        <v>0.180179605359056</v>
      </c>
      <c r="P131" s="2">
        <f>H131</f>
        <v>2.5395010259663401E-2</v>
      </c>
    </row>
    <row r="132" spans="1:16" x14ac:dyDescent="0.3">
      <c r="A132" t="s">
        <v>11</v>
      </c>
      <c r="B132">
        <v>-0.42224204862088199</v>
      </c>
      <c r="C132">
        <v>3.7807492058807297E-2</v>
      </c>
      <c r="D132">
        <v>790178809.68071198</v>
      </c>
      <c r="E132">
        <v>0.16399025574705101</v>
      </c>
      <c r="F132">
        <v>0.17600269848157099</v>
      </c>
      <c r="G132">
        <v>0.182805813236639</v>
      </c>
      <c r="H132">
        <v>0.17199535881699199</v>
      </c>
      <c r="I132">
        <v>0.16762792062645801</v>
      </c>
      <c r="J132">
        <v>0.181433525492499</v>
      </c>
      <c r="M132" s="2" t="str">
        <f>A136</f>
        <v>DMTNatalizumab</v>
      </c>
      <c r="N132" s="2">
        <f>B136</f>
        <v>-0.33833474337350999</v>
      </c>
      <c r="O132" s="2">
        <f>C136</f>
        <v>2.5395010259663401E-2</v>
      </c>
      <c r="P132" s="2">
        <f>H136</f>
        <v>0.67024590941616202</v>
      </c>
    </row>
    <row r="133" spans="1:16" x14ac:dyDescent="0.3">
      <c r="A133" t="s">
        <v>12</v>
      </c>
      <c r="B133">
        <v>-8.0443949706088702E-2</v>
      </c>
      <c r="C133">
        <v>-1.27550026995942E-2</v>
      </c>
      <c r="D133">
        <v>0.16399025574705101</v>
      </c>
      <c r="E133">
        <v>366454681.09871501</v>
      </c>
      <c r="F133">
        <v>0.16351699699756</v>
      </c>
      <c r="G133">
        <v>0.16122185012742199</v>
      </c>
      <c r="H133">
        <v>0.164868941425939</v>
      </c>
      <c r="I133">
        <v>0.166342371237785</v>
      </c>
      <c r="J133">
        <v>0.16168481481849201</v>
      </c>
    </row>
    <row r="134" spans="1:16" x14ac:dyDescent="0.3">
      <c r="A134" t="s">
        <v>13</v>
      </c>
      <c r="B134">
        <v>-0.46743439362957401</v>
      </c>
      <c r="C134">
        <v>4.44928355843471E-2</v>
      </c>
      <c r="D134">
        <v>0.17600269848157099</v>
      </c>
      <c r="E134">
        <v>0.16351699699756</v>
      </c>
      <c r="F134">
        <v>73206227.123797894</v>
      </c>
      <c r="G134">
        <v>0.18565963223265899</v>
      </c>
      <c r="H134">
        <v>0.172937609562198</v>
      </c>
      <c r="I134">
        <v>0.167797895215793</v>
      </c>
      <c r="J134">
        <v>0.184044688483429</v>
      </c>
    </row>
    <row r="135" spans="1:16" x14ac:dyDescent="0.3">
      <c r="A135" t="s">
        <v>14</v>
      </c>
      <c r="B135">
        <v>-0.68660217301558002</v>
      </c>
      <c r="C135">
        <v>7.6914518828343006E-2</v>
      </c>
      <c r="D135">
        <v>0.182805813236639</v>
      </c>
      <c r="E135">
        <v>0.16122185012742199</v>
      </c>
      <c r="F135">
        <v>0.18565963223265899</v>
      </c>
      <c r="G135">
        <v>0.53283303454243103</v>
      </c>
      <c r="H135">
        <v>0.177507210971725</v>
      </c>
      <c r="I135">
        <v>0.16862221520382401</v>
      </c>
      <c r="J135">
        <v>0.19670795688047699</v>
      </c>
    </row>
    <row r="136" spans="1:16" x14ac:dyDescent="0.3">
      <c r="A136" s="2" t="s">
        <v>15</v>
      </c>
      <c r="B136" s="2">
        <v>-0.33833474337350999</v>
      </c>
      <c r="C136" s="2">
        <v>2.5395010259663401E-2</v>
      </c>
      <c r="D136">
        <v>0.17199535881699199</v>
      </c>
      <c r="E136">
        <v>0.164868941425939</v>
      </c>
      <c r="F136">
        <v>0.172937609562198</v>
      </c>
      <c r="G136">
        <v>0.177507210971725</v>
      </c>
      <c r="H136" s="2">
        <v>0.67024590941616202</v>
      </c>
      <c r="I136">
        <v>0.16731233377764701</v>
      </c>
      <c r="J136">
        <v>0.176585455535331</v>
      </c>
    </row>
    <row r="137" spans="1:16" x14ac:dyDescent="0.3">
      <c r="A137" t="s">
        <v>16</v>
      </c>
      <c r="B137">
        <v>-0.19763423128646401</v>
      </c>
      <c r="C137">
        <v>4.5810591947128103E-3</v>
      </c>
      <c r="D137">
        <v>0.16762792062645801</v>
      </c>
      <c r="E137">
        <v>0.166342371237785</v>
      </c>
      <c r="F137">
        <v>0.167797895215793</v>
      </c>
      <c r="G137">
        <v>0.16862221520382401</v>
      </c>
      <c r="H137">
        <v>0.16731233377764701</v>
      </c>
      <c r="I137">
        <v>0.50011647324514696</v>
      </c>
      <c r="J137">
        <v>0.16845593780625701</v>
      </c>
    </row>
    <row r="138" spans="1:16" x14ac:dyDescent="0.3">
      <c r="A138" t="s">
        <v>17</v>
      </c>
      <c r="B138">
        <v>-0.64239282650444296</v>
      </c>
      <c r="C138">
        <v>7.0374591139046705E-2</v>
      </c>
      <c r="D138">
        <v>0.181433525492499</v>
      </c>
      <c r="E138">
        <v>0.16168481481849201</v>
      </c>
      <c r="F138">
        <v>0.184044688483429</v>
      </c>
      <c r="G138">
        <v>0.19670795688047699</v>
      </c>
      <c r="H138">
        <v>0.176585455535331</v>
      </c>
      <c r="I138">
        <v>0.16845593780625701</v>
      </c>
      <c r="J138">
        <v>615350409.92940998</v>
      </c>
    </row>
    <row r="141" spans="1:16" x14ac:dyDescent="0.3">
      <c r="A141" t="s">
        <v>24</v>
      </c>
      <c r="M141" s="2" t="str">
        <f>A141</f>
        <v>Time to Relapse (SPMS)</v>
      </c>
    </row>
    <row r="143" spans="1:16" x14ac:dyDescent="0.3">
      <c r="A143" t="s">
        <v>1</v>
      </c>
    </row>
    <row r="145" spans="1:16" x14ac:dyDescent="0.3">
      <c r="A145" s="2" t="s">
        <v>2</v>
      </c>
      <c r="B145" s="2" t="s">
        <v>3</v>
      </c>
      <c r="C145" t="s">
        <v>4</v>
      </c>
      <c r="D145" t="s">
        <v>5</v>
      </c>
      <c r="E145" t="s">
        <v>6</v>
      </c>
      <c r="F145" t="s">
        <v>7</v>
      </c>
      <c r="G145" t="s">
        <v>8</v>
      </c>
    </row>
    <row r="146" spans="1:16" x14ac:dyDescent="0.3">
      <c r="A146" s="2" t="s">
        <v>9</v>
      </c>
      <c r="B146" s="2">
        <v>4.6888425388144501</v>
      </c>
      <c r="C146">
        <v>2.7977610741701899</v>
      </c>
      <c r="D146">
        <v>6.5799240034587099</v>
      </c>
      <c r="E146">
        <v>108.727259364936</v>
      </c>
      <c r="F146">
        <v>16.407869612707099</v>
      </c>
      <c r="G146">
        <v>720.48457283295204</v>
      </c>
      <c r="M146" s="2" t="str">
        <f>A146</f>
        <v>(Intercept)</v>
      </c>
      <c r="N146" s="2" cm="1">
        <f t="array" ref="N146:N147">B146:B147</f>
        <v>4.6888425388144501</v>
      </c>
    </row>
    <row r="147" spans="1:16" x14ac:dyDescent="0.3">
      <c r="A147" s="2" t="s">
        <v>10</v>
      </c>
      <c r="B147" s="2">
        <v>-6.6283594312738697E-2</v>
      </c>
      <c r="C147">
        <v>-0.36024233315654303</v>
      </c>
      <c r="D147">
        <v>0.22767514453106599</v>
      </c>
      <c r="E147">
        <v>0.93586542054347399</v>
      </c>
      <c r="F147">
        <v>0.69750727644868005</v>
      </c>
      <c r="G147">
        <v>1.2556773455157699</v>
      </c>
      <c r="M147" s="2" t="str">
        <f>A147</f>
        <v>BaselineWebEDSS</v>
      </c>
      <c r="N147" s="2">
        <v>-6.6283594312738697E-2</v>
      </c>
    </row>
    <row r="148" spans="1:16" x14ac:dyDescent="0.3">
      <c r="A148" t="s">
        <v>11</v>
      </c>
      <c r="B148">
        <v>16.474094405738001</v>
      </c>
      <c r="C148">
        <v>-11152.1112907303</v>
      </c>
      <c r="D148">
        <v>11185.0594795417</v>
      </c>
      <c r="E148">
        <v>14276057.705789899</v>
      </c>
      <c r="F148">
        <v>0</v>
      </c>
      <c r="G148" s="3" t="e">
        <v>#NUM!</v>
      </c>
      <c r="M148" s="2" t="str">
        <f>A152</f>
        <v>DMTNatalizumab</v>
      </c>
      <c r="N148" s="2">
        <f>B152</f>
        <v>0.52692699001578103</v>
      </c>
    </row>
    <row r="149" spans="1:16" x14ac:dyDescent="0.3">
      <c r="A149" t="s">
        <v>12</v>
      </c>
      <c r="B149">
        <v>-1.0194146738908001</v>
      </c>
      <c r="C149">
        <v>-3.0290395042707399</v>
      </c>
      <c r="D149">
        <v>0.99021015648913202</v>
      </c>
      <c r="E149">
        <v>0.36080606758957201</v>
      </c>
      <c r="F149">
        <v>4.8362067384127003E-2</v>
      </c>
      <c r="G149">
        <v>2.6918001121717601</v>
      </c>
    </row>
    <row r="150" spans="1:16" x14ac:dyDescent="0.3">
      <c r="A150" s="1" t="s">
        <v>19</v>
      </c>
      <c r="B150">
        <v>0.15384764301496801</v>
      </c>
      <c r="C150">
        <v>-0.71052610430950103</v>
      </c>
      <c r="D150">
        <v>1.0182213903394399</v>
      </c>
      <c r="E150">
        <v>1.16631317728185</v>
      </c>
      <c r="F150">
        <v>0.49138560935806203</v>
      </c>
      <c r="G150">
        <v>2.7682667168017701</v>
      </c>
    </row>
    <row r="151" spans="1:16" x14ac:dyDescent="0.3">
      <c r="A151" t="s">
        <v>14</v>
      </c>
      <c r="B151">
        <v>0.36985124997094898</v>
      </c>
      <c r="C151">
        <v>-0.61335992485222002</v>
      </c>
      <c r="D151">
        <v>1.3530624247941201</v>
      </c>
      <c r="E151">
        <v>1.4475192801132399</v>
      </c>
      <c r="F151">
        <v>0.54152831452376804</v>
      </c>
      <c r="G151">
        <v>3.86925671309029</v>
      </c>
    </row>
    <row r="152" spans="1:16" x14ac:dyDescent="0.3">
      <c r="A152" s="2" t="s">
        <v>15</v>
      </c>
      <c r="B152" s="2">
        <v>0.52692699001578103</v>
      </c>
      <c r="C152">
        <v>-0.69160578641889303</v>
      </c>
      <c r="D152">
        <v>1.7454597664504501</v>
      </c>
      <c r="E152">
        <v>1.69371948630139</v>
      </c>
      <c r="F152">
        <v>0.50077129134980103</v>
      </c>
      <c r="G152">
        <v>5.7285346580964598</v>
      </c>
    </row>
    <row r="153" spans="1:16" x14ac:dyDescent="0.3">
      <c r="A153" t="s">
        <v>16</v>
      </c>
      <c r="B153">
        <v>0.219982198976585</v>
      </c>
      <c r="C153">
        <v>-1.7890475812200399</v>
      </c>
      <c r="D153">
        <v>2.2290119791732099</v>
      </c>
      <c r="E153">
        <v>1.24605454934375</v>
      </c>
      <c r="F153">
        <v>0.16711926141709499</v>
      </c>
      <c r="G153">
        <v>9.2906821558117691</v>
      </c>
    </row>
    <row r="157" spans="1:16" x14ac:dyDescent="0.3">
      <c r="A157" s="2" t="s">
        <v>2</v>
      </c>
      <c r="B157" s="2" t="s">
        <v>9</v>
      </c>
      <c r="C157" s="2" t="s">
        <v>10</v>
      </c>
      <c r="D157" t="s">
        <v>11</v>
      </c>
      <c r="E157" t="s">
        <v>12</v>
      </c>
      <c r="F157" t="s">
        <v>13</v>
      </c>
      <c r="G157" t="s">
        <v>14</v>
      </c>
      <c r="H157" s="2" t="s">
        <v>15</v>
      </c>
      <c r="I157" t="s">
        <v>16</v>
      </c>
      <c r="M157" s="2"/>
      <c r="N157" s="2" t="str">
        <f t="shared" ref="N157:O159" si="5">B157</f>
        <v>(Intercept)</v>
      </c>
      <c r="O157" s="2" t="str">
        <f t="shared" si="5"/>
        <v>BaselineWebEDSS</v>
      </c>
      <c r="P157" s="2" t="str">
        <f>H157</f>
        <v>DMTNatalizumab</v>
      </c>
    </row>
    <row r="158" spans="1:16" x14ac:dyDescent="0.3">
      <c r="A158" s="2" t="s">
        <v>9</v>
      </c>
      <c r="B158" s="2">
        <v>0.93094557897014996</v>
      </c>
      <c r="C158" s="2">
        <v>-0.140770879719954</v>
      </c>
      <c r="D158">
        <v>-5.69585264644243E-2</v>
      </c>
      <c r="E158">
        <v>-1.5934860790447199E-2</v>
      </c>
      <c r="F158">
        <v>-8.7977313390334794E-2</v>
      </c>
      <c r="G158">
        <v>-8.8128898990859905E-2</v>
      </c>
      <c r="H158">
        <v>3.03020017691458E-3</v>
      </c>
      <c r="I158">
        <v>-7.4739577219698497E-2</v>
      </c>
      <c r="M158" s="2" t="str">
        <f>A158</f>
        <v>(Intercept)</v>
      </c>
      <c r="N158" s="2">
        <f t="shared" si="5"/>
        <v>0.93094557897014996</v>
      </c>
      <c r="O158" s="2">
        <f t="shared" si="5"/>
        <v>-0.140770879719954</v>
      </c>
      <c r="P158" s="2">
        <f>H158</f>
        <v>3.03020017691458E-3</v>
      </c>
    </row>
    <row r="159" spans="1:16" x14ac:dyDescent="0.3">
      <c r="A159" s="2" t="s">
        <v>10</v>
      </c>
      <c r="B159" s="2">
        <v>-0.140770879719954</v>
      </c>
      <c r="C159" s="2">
        <v>2.2494511636344E-2</v>
      </c>
      <c r="D159">
        <v>1.1119391655233901E-3</v>
      </c>
      <c r="E159">
        <v>-5.4434459162816702E-3</v>
      </c>
      <c r="F159">
        <v>6.0685925929812503E-3</v>
      </c>
      <c r="G159">
        <v>6.0928152451497804E-3</v>
      </c>
      <c r="H159">
        <v>-8.4739717286015093E-3</v>
      </c>
      <c r="I159">
        <v>3.9532658228309302E-3</v>
      </c>
      <c r="M159" s="2" t="str">
        <f>A159</f>
        <v>BaselineWebEDSS</v>
      </c>
      <c r="N159" s="2">
        <f t="shared" si="5"/>
        <v>-0.140770879719954</v>
      </c>
      <c r="O159" s="2">
        <f t="shared" si="5"/>
        <v>2.2494511636344E-2</v>
      </c>
      <c r="P159" s="2">
        <f>H159</f>
        <v>-8.4739717286015093E-3</v>
      </c>
    </row>
    <row r="160" spans="1:16" x14ac:dyDescent="0.3">
      <c r="A160" t="s">
        <v>11</v>
      </c>
      <c r="B160">
        <v>-5.69585264644243E-2</v>
      </c>
      <c r="C160">
        <v>1.1119391655233901E-3</v>
      </c>
      <c r="D160">
        <v>32471335.845931102</v>
      </c>
      <c r="E160">
        <v>4.9730921888522198E-2</v>
      </c>
      <c r="F160">
        <v>5.0299980097049002E-2</v>
      </c>
      <c r="G160">
        <v>5.0301177460924898E-2</v>
      </c>
      <c r="H160">
        <v>4.9581118220973198E-2</v>
      </c>
      <c r="I160">
        <v>5.01954161606704E-2</v>
      </c>
      <c r="M160" s="2" t="str">
        <f>A164</f>
        <v>DMTNatalizumab</v>
      </c>
      <c r="N160" s="2">
        <f>B164</f>
        <v>3.03020017691458E-3</v>
      </c>
      <c r="O160" s="2">
        <f>C164</f>
        <v>-8.4739717286015093E-3</v>
      </c>
      <c r="P160" s="2">
        <f>H164</f>
        <v>0.38652558742704402</v>
      </c>
    </row>
    <row r="161" spans="1:14" x14ac:dyDescent="0.3">
      <c r="A161" t="s">
        <v>12</v>
      </c>
      <c r="B161">
        <v>-1.5934860790447199E-2</v>
      </c>
      <c r="C161">
        <v>-5.4434459162816702E-3</v>
      </c>
      <c r="D161">
        <v>4.9730921888522198E-2</v>
      </c>
      <c r="E161">
        <v>1.0513172592462801</v>
      </c>
      <c r="F161">
        <v>4.8531461535956701E-2</v>
      </c>
      <c r="G161">
        <v>4.85255998973863E-2</v>
      </c>
      <c r="H161">
        <v>5.2050616058995199E-2</v>
      </c>
      <c r="I161">
        <v>4.90433493712975E-2</v>
      </c>
    </row>
    <row r="162" spans="1:14" x14ac:dyDescent="0.3">
      <c r="A162" t="s">
        <v>13</v>
      </c>
      <c r="B162">
        <v>-8.7977313390334794E-2</v>
      </c>
      <c r="C162">
        <v>6.0685925929812503E-3</v>
      </c>
      <c r="D162">
        <v>5.0299980097049002E-2</v>
      </c>
      <c r="E162">
        <v>4.8531461535956701E-2</v>
      </c>
      <c r="F162">
        <v>0.194494334037594</v>
      </c>
      <c r="G162">
        <v>5.1643725992583003E-2</v>
      </c>
      <c r="H162">
        <v>4.7713883150846598E-2</v>
      </c>
      <c r="I162">
        <v>5.1066516138619199E-2</v>
      </c>
    </row>
    <row r="163" spans="1:14" x14ac:dyDescent="0.3">
      <c r="A163" t="s">
        <v>14</v>
      </c>
      <c r="B163">
        <v>-8.8128898990859905E-2</v>
      </c>
      <c r="C163">
        <v>6.0928152451497804E-3</v>
      </c>
      <c r="D163">
        <v>5.0301177460924898E-2</v>
      </c>
      <c r="E163">
        <v>4.85255998973863E-2</v>
      </c>
      <c r="F163">
        <v>5.1643725992583003E-2</v>
      </c>
      <c r="G163">
        <v>0.25165028688827101</v>
      </c>
      <c r="H163">
        <v>4.7704758166362098E-2</v>
      </c>
      <c r="I163">
        <v>5.1070773114031798E-2</v>
      </c>
    </row>
    <row r="164" spans="1:14" x14ac:dyDescent="0.3">
      <c r="A164" s="2" t="s">
        <v>15</v>
      </c>
      <c r="B164" s="2">
        <v>3.03020017691458E-3</v>
      </c>
      <c r="C164" s="2">
        <v>-8.4739717286015093E-3</v>
      </c>
      <c r="D164">
        <v>4.9581118220973198E-2</v>
      </c>
      <c r="E164">
        <v>5.2050616058995199E-2</v>
      </c>
      <c r="F164">
        <v>4.7713883150846598E-2</v>
      </c>
      <c r="G164">
        <v>4.7704758166362098E-2</v>
      </c>
      <c r="H164" s="2">
        <v>0.38652558742704402</v>
      </c>
      <c r="I164">
        <v>4.85107539403438E-2</v>
      </c>
    </row>
    <row r="165" spans="1:14" x14ac:dyDescent="0.3">
      <c r="A165" t="s">
        <v>16</v>
      </c>
      <c r="B165">
        <v>-7.4739577219698497E-2</v>
      </c>
      <c r="C165">
        <v>3.9532658228309302E-3</v>
      </c>
      <c r="D165">
        <v>5.01954161606704E-2</v>
      </c>
      <c r="E165">
        <v>4.90433493712975E-2</v>
      </c>
      <c r="F165">
        <v>5.1066516138619199E-2</v>
      </c>
      <c r="G165">
        <v>5.1070773114031798E-2</v>
      </c>
      <c r="H165">
        <v>4.85107539403438E-2</v>
      </c>
      <c r="I165">
        <v>1.05069476105632</v>
      </c>
    </row>
    <row r="169" spans="1:14" x14ac:dyDescent="0.3">
      <c r="A169" t="s">
        <v>25</v>
      </c>
      <c r="M169" s="2" t="str">
        <f>A169</f>
        <v>Time to Relapse (RRMS Highly Active)</v>
      </c>
    </row>
    <row r="171" spans="1:14" x14ac:dyDescent="0.3">
      <c r="A171" t="s">
        <v>1</v>
      </c>
    </row>
    <row r="173" spans="1:14" x14ac:dyDescent="0.3">
      <c r="A173" s="2" t="s">
        <v>2</v>
      </c>
      <c r="B173" s="2" t="s">
        <v>3</v>
      </c>
      <c r="C173" t="s">
        <v>4</v>
      </c>
      <c r="D173" t="s">
        <v>5</v>
      </c>
      <c r="E173" t="s">
        <v>6</v>
      </c>
      <c r="F173" t="s">
        <v>7</v>
      </c>
      <c r="G173" t="s">
        <v>8</v>
      </c>
    </row>
    <row r="174" spans="1:14" x14ac:dyDescent="0.3">
      <c r="A174" s="2" t="s">
        <v>9</v>
      </c>
      <c r="B174" s="2">
        <v>2.1268696212037401</v>
      </c>
      <c r="C174">
        <v>1.3045529480732501</v>
      </c>
      <c r="D174">
        <v>2.9491862943342202</v>
      </c>
      <c r="E174">
        <v>8.3885662775941192</v>
      </c>
      <c r="F174">
        <v>3.6860408736378498</v>
      </c>
      <c r="G174">
        <v>19.090413428905102</v>
      </c>
      <c r="M174" s="2" t="str">
        <f>A174</f>
        <v>(Intercept)</v>
      </c>
      <c r="N174" s="2" cm="1">
        <f t="array" ref="N174:N175">B174:B175</f>
        <v>2.1268696212037401</v>
      </c>
    </row>
    <row r="175" spans="1:14" x14ac:dyDescent="0.3">
      <c r="A175" s="2" t="s">
        <v>10</v>
      </c>
      <c r="B175" s="2">
        <v>1.9013546423300901E-2</v>
      </c>
      <c r="C175">
        <v>-0.16546610475090601</v>
      </c>
      <c r="D175">
        <v>0.203493197597508</v>
      </c>
      <c r="E175">
        <v>1.01919545497695</v>
      </c>
      <c r="F175">
        <v>0.84749858889386498</v>
      </c>
      <c r="G175">
        <v>1.2256768200657899</v>
      </c>
      <c r="M175" s="2" t="str">
        <f>A175</f>
        <v>BaselineWebEDSS</v>
      </c>
      <c r="N175" s="2">
        <v>1.9013546423300901E-2</v>
      </c>
    </row>
    <row r="176" spans="1:14" x14ac:dyDescent="0.3">
      <c r="A176" t="s">
        <v>11</v>
      </c>
      <c r="B176">
        <v>-2.4817628297875201E-2</v>
      </c>
      <c r="C176">
        <v>-2.12452454784931</v>
      </c>
      <c r="D176">
        <v>2.0748892912535601</v>
      </c>
      <c r="E176">
        <v>0.97548779717720402</v>
      </c>
      <c r="F176">
        <v>0.11948976642968</v>
      </c>
      <c r="G176">
        <v>7.9636647628869399</v>
      </c>
      <c r="M176" s="2" t="str">
        <f>A180</f>
        <v>DMTNatalizumab</v>
      </c>
      <c r="N176" s="2">
        <f>B180</f>
        <v>0.744813173325932</v>
      </c>
    </row>
    <row r="177" spans="1:16" x14ac:dyDescent="0.3">
      <c r="A177" t="s">
        <v>12</v>
      </c>
      <c r="B177">
        <v>0.79065500574890202</v>
      </c>
      <c r="C177">
        <v>-1.29114578174679</v>
      </c>
      <c r="D177">
        <v>2.87245579324459</v>
      </c>
      <c r="E177">
        <v>2.20484013634983</v>
      </c>
      <c r="F177">
        <v>0.27495556347199201</v>
      </c>
      <c r="G177">
        <v>17.680384297277001</v>
      </c>
    </row>
    <row r="178" spans="1:16" x14ac:dyDescent="0.3">
      <c r="A178" s="1" t="s">
        <v>19</v>
      </c>
      <c r="B178">
        <v>0.21150265079005801</v>
      </c>
      <c r="C178">
        <v>-0.68169486943674396</v>
      </c>
      <c r="D178">
        <v>1.10470017101686</v>
      </c>
      <c r="E178">
        <v>1.2355332407635899</v>
      </c>
      <c r="F178">
        <v>0.50575906994770803</v>
      </c>
      <c r="G178">
        <v>3.0183193535009001</v>
      </c>
    </row>
    <row r="179" spans="1:16" x14ac:dyDescent="0.3">
      <c r="A179" t="s">
        <v>14</v>
      </c>
      <c r="B179">
        <v>0.52288007210759502</v>
      </c>
      <c r="C179">
        <v>-0.447487746188932</v>
      </c>
      <c r="D179">
        <v>1.49324789040412</v>
      </c>
      <c r="E179">
        <v>1.6868789933733701</v>
      </c>
      <c r="F179">
        <v>0.639232049231098</v>
      </c>
      <c r="G179">
        <v>4.4515301473184099</v>
      </c>
    </row>
    <row r="180" spans="1:16" x14ac:dyDescent="0.3">
      <c r="A180" s="2" t="s">
        <v>15</v>
      </c>
      <c r="B180" s="2">
        <v>0.744813173325932</v>
      </c>
      <c r="C180">
        <v>-0.42892092603737503</v>
      </c>
      <c r="D180">
        <v>1.9185472726892401</v>
      </c>
      <c r="E180">
        <v>2.1060479322928498</v>
      </c>
      <c r="F180">
        <v>0.65121142101273999</v>
      </c>
      <c r="G180">
        <v>6.8110566706848799</v>
      </c>
    </row>
    <row r="181" spans="1:16" x14ac:dyDescent="0.3">
      <c r="A181" t="s">
        <v>16</v>
      </c>
      <c r="B181">
        <v>0.17484729609010699</v>
      </c>
      <c r="C181">
        <v>-1.04855844933413</v>
      </c>
      <c r="D181">
        <v>1.3982530415143399</v>
      </c>
      <c r="E181">
        <v>1.19106432254576</v>
      </c>
      <c r="F181">
        <v>0.35044256587845501</v>
      </c>
      <c r="G181">
        <v>4.0481218852090404</v>
      </c>
    </row>
    <row r="182" spans="1:16" x14ac:dyDescent="0.3">
      <c r="A182" t="s">
        <v>17</v>
      </c>
      <c r="B182">
        <v>1.0282352320047401</v>
      </c>
      <c r="C182">
        <v>-1.05356555549096</v>
      </c>
      <c r="D182">
        <v>3.1100360195004302</v>
      </c>
      <c r="E182">
        <v>2.7961269626248599</v>
      </c>
      <c r="F182">
        <v>0.34869224841875901</v>
      </c>
      <c r="G182">
        <v>22.421852010109401</v>
      </c>
    </row>
    <row r="183" spans="1:16" x14ac:dyDescent="0.3">
      <c r="A183" t="s">
        <v>18</v>
      </c>
      <c r="B183">
        <v>0.38086268576313997</v>
      </c>
      <c r="C183">
        <v>-1.6993020608417799</v>
      </c>
      <c r="D183">
        <v>2.4610274323680601</v>
      </c>
      <c r="E183">
        <v>1.4635466258233301</v>
      </c>
      <c r="F183">
        <v>0.18281107054240001</v>
      </c>
      <c r="G183">
        <v>11.716843622236</v>
      </c>
    </row>
    <row r="185" spans="1:16" x14ac:dyDescent="0.3">
      <c r="A185" s="2" t="s">
        <v>2</v>
      </c>
      <c r="B185" s="2" t="s">
        <v>9</v>
      </c>
      <c r="C185" s="2" t="s">
        <v>10</v>
      </c>
      <c r="D185" t="s">
        <v>11</v>
      </c>
      <c r="E185" t="s">
        <v>12</v>
      </c>
      <c r="F185" t="s">
        <v>13</v>
      </c>
      <c r="G185" t="s">
        <v>14</v>
      </c>
      <c r="H185" s="2" t="s">
        <v>15</v>
      </c>
      <c r="I185" t="s">
        <v>16</v>
      </c>
      <c r="J185" t="s">
        <v>17</v>
      </c>
      <c r="K185" t="s">
        <v>18</v>
      </c>
      <c r="M185" s="2"/>
      <c r="N185" s="2" t="str">
        <f t="shared" ref="N185:O187" si="6">B185</f>
        <v>(Intercept)</v>
      </c>
      <c r="O185" s="2" t="str">
        <f t="shared" si="6"/>
        <v>BaselineWebEDSS</v>
      </c>
      <c r="P185" s="2" t="str">
        <f>H185</f>
        <v>DMTNatalizumab</v>
      </c>
    </row>
    <row r="186" spans="1:16" x14ac:dyDescent="0.3">
      <c r="A186" s="2" t="s">
        <v>9</v>
      </c>
      <c r="B186" s="2">
        <v>0.17602810350735501</v>
      </c>
      <c r="C186" s="2">
        <v>-2.1262047871894101E-2</v>
      </c>
      <c r="D186">
        <v>-9.0979912019778994E-2</v>
      </c>
      <c r="E186">
        <v>-0.112241959891673</v>
      </c>
      <c r="F186">
        <v>-0.10785746860143</v>
      </c>
      <c r="G186">
        <v>-0.103560683233413</v>
      </c>
      <c r="H186">
        <v>-5.694248460398E-2</v>
      </c>
      <c r="I186">
        <v>-9.7683411323453206E-2</v>
      </c>
      <c r="J186">
        <v>-0.112241959891673</v>
      </c>
      <c r="K186">
        <v>-0.133504007763567</v>
      </c>
      <c r="M186" s="2" t="str">
        <f>A186</f>
        <v>(Intercept)</v>
      </c>
      <c r="N186" s="2">
        <f t="shared" si="6"/>
        <v>0.17602810350735501</v>
      </c>
      <c r="O186" s="2">
        <f t="shared" si="6"/>
        <v>-2.1262047871894101E-2</v>
      </c>
      <c r="P186" s="2">
        <f>H186</f>
        <v>-5.694248460398E-2</v>
      </c>
    </row>
    <row r="187" spans="1:16" x14ac:dyDescent="0.3">
      <c r="A187" s="2" t="s">
        <v>10</v>
      </c>
      <c r="B187" s="2">
        <v>-2.1262047871894101E-2</v>
      </c>
      <c r="C187" s="2">
        <v>8.8593274810134792E-3</v>
      </c>
      <c r="D187">
        <v>-1.4175262052159901E-2</v>
      </c>
      <c r="E187">
        <v>-5.3159345711463702E-3</v>
      </c>
      <c r="F187">
        <v>-7.1428349907085601E-3</v>
      </c>
      <c r="G187">
        <v>-8.9331906949306501E-3</v>
      </c>
      <c r="H187">
        <v>-2.8357748984023198E-2</v>
      </c>
      <c r="I187">
        <v>-1.13820929295139E-2</v>
      </c>
      <c r="J187">
        <v>-5.3159345711463702E-3</v>
      </c>
      <c r="K187">
        <v>3.5433929098671198E-3</v>
      </c>
      <c r="M187" s="2" t="str">
        <f>A187</f>
        <v>BaselineWebEDSS</v>
      </c>
      <c r="N187" s="2">
        <f t="shared" si="6"/>
        <v>-2.1262047871894101E-2</v>
      </c>
      <c r="O187" s="2">
        <f t="shared" si="6"/>
        <v>8.8593274810134792E-3</v>
      </c>
      <c r="P187" s="2">
        <f>H187</f>
        <v>-2.8357748984023198E-2</v>
      </c>
    </row>
    <row r="188" spans="1:16" x14ac:dyDescent="0.3">
      <c r="A188" t="s">
        <v>11</v>
      </c>
      <c r="B188">
        <v>-9.0979912019778994E-2</v>
      </c>
      <c r="C188">
        <v>-1.4175262052159901E-2</v>
      </c>
      <c r="D188">
        <v>1.1476809602284199</v>
      </c>
      <c r="E188">
        <v>0.13350569817625901</v>
      </c>
      <c r="F188">
        <v>0.13642880856426401</v>
      </c>
      <c r="G188">
        <v>0.13929344601313601</v>
      </c>
      <c r="H188">
        <v>0.17037348054007301</v>
      </c>
      <c r="I188">
        <v>0.143211783041509</v>
      </c>
      <c r="J188">
        <v>0.13350569817625901</v>
      </c>
      <c r="K188">
        <v>0.11933043612409901</v>
      </c>
      <c r="M188" s="2" t="str">
        <f>A192</f>
        <v>DMTNatalizumab</v>
      </c>
      <c r="N188" s="2">
        <f>B192</f>
        <v>-5.694248460398E-2</v>
      </c>
      <c r="O188" s="2">
        <f>C192</f>
        <v>-2.8357748984023198E-2</v>
      </c>
      <c r="P188" s="2">
        <f>H192</f>
        <v>0.35862722999572899</v>
      </c>
    </row>
    <row r="189" spans="1:16" x14ac:dyDescent="0.3">
      <c r="A189" t="s">
        <v>12</v>
      </c>
      <c r="B189">
        <v>-0.112241959891673</v>
      </c>
      <c r="C189">
        <v>-5.3159345711463702E-3</v>
      </c>
      <c r="D189">
        <v>0.13350569817625901</v>
      </c>
      <c r="E189">
        <v>1.1281897636051099</v>
      </c>
      <c r="F189">
        <v>0.12928597357355601</v>
      </c>
      <c r="G189">
        <v>0.130360255318205</v>
      </c>
      <c r="H189">
        <v>0.14201573155604999</v>
      </c>
      <c r="I189">
        <v>0.131829690111995</v>
      </c>
      <c r="J189">
        <v>0.128189763605112</v>
      </c>
      <c r="K189">
        <v>0.122873829033966</v>
      </c>
    </row>
    <row r="190" spans="1:16" x14ac:dyDescent="0.3">
      <c r="A190" t="s">
        <v>13</v>
      </c>
      <c r="B190">
        <v>-0.10785746860143</v>
      </c>
      <c r="C190">
        <v>-7.1428349907085601E-3</v>
      </c>
      <c r="D190">
        <v>0.13642880856426401</v>
      </c>
      <c r="E190">
        <v>0.12928597357355601</v>
      </c>
      <c r="F190">
        <v>0.20768198941545599</v>
      </c>
      <c r="G190">
        <v>0.132202387225347</v>
      </c>
      <c r="H190">
        <v>0.14786344218959099</v>
      </c>
      <c r="I190">
        <v>0.134176815262633</v>
      </c>
      <c r="J190">
        <v>0.12928597357355601</v>
      </c>
      <c r="K190">
        <v>0.12214313858284701</v>
      </c>
    </row>
    <row r="191" spans="1:16" x14ac:dyDescent="0.3">
      <c r="A191" t="s">
        <v>14</v>
      </c>
      <c r="B191">
        <v>-0.103560683233413</v>
      </c>
      <c r="C191">
        <v>-8.9331906949306501E-3</v>
      </c>
      <c r="D191">
        <v>0.13929344601313601</v>
      </c>
      <c r="E191">
        <v>0.130360255318205</v>
      </c>
      <c r="F191">
        <v>0.132202387225347</v>
      </c>
      <c r="G191">
        <v>0.24511878084259101</v>
      </c>
      <c r="H191">
        <v>0.15359417714224399</v>
      </c>
      <c r="I191">
        <v>0.13647698929345101</v>
      </c>
      <c r="J191">
        <v>0.130360255318205</v>
      </c>
      <c r="K191">
        <v>0.121427064623274</v>
      </c>
    </row>
    <row r="192" spans="1:16" x14ac:dyDescent="0.3">
      <c r="A192" s="2" t="s">
        <v>15</v>
      </c>
      <c r="B192" s="2">
        <v>-5.694248460398E-2</v>
      </c>
      <c r="C192" s="2">
        <v>-2.8357748984023198E-2</v>
      </c>
      <c r="D192">
        <v>0.17037348054007301</v>
      </c>
      <c r="E192">
        <v>0.14201573155604999</v>
      </c>
      <c r="F192">
        <v>0.14786344218959099</v>
      </c>
      <c r="G192">
        <v>0.15359417714224399</v>
      </c>
      <c r="H192" s="2">
        <v>0.35862722999572899</v>
      </c>
      <c r="I192">
        <v>0.161432848305891</v>
      </c>
      <c r="J192">
        <v>0.14201573155604899</v>
      </c>
      <c r="K192">
        <v>0.113657982572026</v>
      </c>
    </row>
    <row r="193" spans="1:14" x14ac:dyDescent="0.3">
      <c r="A193" t="s">
        <v>16</v>
      </c>
      <c r="B193">
        <v>-9.7683411323453206E-2</v>
      </c>
      <c r="C193">
        <v>-1.13820929295139E-2</v>
      </c>
      <c r="D193">
        <v>0.143211783041509</v>
      </c>
      <c r="E193">
        <v>0.131829690111995</v>
      </c>
      <c r="F193">
        <v>0.134176815262633</v>
      </c>
      <c r="G193">
        <v>0.13647698929345101</v>
      </c>
      <c r="H193">
        <v>0.161432848305891</v>
      </c>
      <c r="I193">
        <v>0.38962323632733198</v>
      </c>
      <c r="J193">
        <v>0.131829690111995</v>
      </c>
      <c r="K193">
        <v>0.12044759718248101</v>
      </c>
    </row>
    <row r="194" spans="1:14" x14ac:dyDescent="0.3">
      <c r="A194" t="s">
        <v>17</v>
      </c>
      <c r="B194">
        <v>-0.112241959891673</v>
      </c>
      <c r="C194">
        <v>-5.3159345711463702E-3</v>
      </c>
      <c r="D194">
        <v>0.13350569817625901</v>
      </c>
      <c r="E194">
        <v>0.128189763605112</v>
      </c>
      <c r="F194">
        <v>0.12928597357355601</v>
      </c>
      <c r="G194">
        <v>0.130360255318205</v>
      </c>
      <c r="H194">
        <v>0.14201573155604899</v>
      </c>
      <c r="I194">
        <v>0.131829690111995</v>
      </c>
      <c r="J194">
        <v>1.1281897636051099</v>
      </c>
      <c r="K194">
        <v>0.122873829033966</v>
      </c>
    </row>
    <row r="195" spans="1:14" x14ac:dyDescent="0.3">
      <c r="A195" t="s">
        <v>18</v>
      </c>
      <c r="B195">
        <v>-0.133504007763567</v>
      </c>
      <c r="C195">
        <v>3.5433929098671198E-3</v>
      </c>
      <c r="D195">
        <v>0.11933043612409901</v>
      </c>
      <c r="E195">
        <v>0.122873829033966</v>
      </c>
      <c r="F195">
        <v>0.12214313858284701</v>
      </c>
      <c r="G195">
        <v>0.121427064623274</v>
      </c>
      <c r="H195">
        <v>0.113657982572026</v>
      </c>
      <c r="I195">
        <v>0.12044759718248101</v>
      </c>
      <c r="J195">
        <v>0.122873829033966</v>
      </c>
      <c r="K195">
        <v>1.12641722194383</v>
      </c>
    </row>
    <row r="197" spans="1:14" x14ac:dyDescent="0.3">
      <c r="A197" t="s">
        <v>26</v>
      </c>
      <c r="M197" s="2" t="str">
        <f>A197</f>
        <v>Time to Relapse (All RRMS)</v>
      </c>
    </row>
    <row r="199" spans="1:14" x14ac:dyDescent="0.3">
      <c r="A199" t="s">
        <v>1</v>
      </c>
    </row>
    <row r="201" spans="1:14" x14ac:dyDescent="0.3">
      <c r="A201" s="2" t="s">
        <v>2</v>
      </c>
      <c r="B201" s="2" t="s">
        <v>3</v>
      </c>
      <c r="C201" t="s">
        <v>4</v>
      </c>
      <c r="D201" t="s">
        <v>5</v>
      </c>
      <c r="E201" t="s">
        <v>6</v>
      </c>
      <c r="F201" t="s">
        <v>7</v>
      </c>
      <c r="G201" t="s">
        <v>8</v>
      </c>
    </row>
    <row r="202" spans="1:14" x14ac:dyDescent="0.3">
      <c r="A202" s="2" t="s">
        <v>9</v>
      </c>
      <c r="B202" s="2">
        <v>2.6319783432774502</v>
      </c>
      <c r="C202">
        <v>2.18031720737299</v>
      </c>
      <c r="D202">
        <v>3.0836394791819099</v>
      </c>
      <c r="E202">
        <v>13.901244149334</v>
      </c>
      <c r="F202">
        <v>8.8491128173969091</v>
      </c>
      <c r="G202">
        <v>21.837735927547801</v>
      </c>
      <c r="M202" s="2" t="str">
        <f>A202</f>
        <v>(Intercept)</v>
      </c>
      <c r="N202" s="2" cm="1">
        <f t="array" ref="N202:N203">B202:B203</f>
        <v>2.6319783432774502</v>
      </c>
    </row>
    <row r="203" spans="1:14" x14ac:dyDescent="0.3">
      <c r="A203" s="2" t="s">
        <v>10</v>
      </c>
      <c r="B203" s="2">
        <v>7.4184850611015096E-2</v>
      </c>
      <c r="C203">
        <v>-1.1516763587606799E-2</v>
      </c>
      <c r="D203">
        <v>0.159886464809637</v>
      </c>
      <c r="E203">
        <v>1.0770058722903999</v>
      </c>
      <c r="F203">
        <v>0.98854930047621004</v>
      </c>
      <c r="G203">
        <v>1.17337764377481</v>
      </c>
      <c r="M203" s="2" t="str">
        <f>A203</f>
        <v>BaselineWebEDSS</v>
      </c>
      <c r="N203" s="2">
        <v>7.4184850611015096E-2</v>
      </c>
    </row>
    <row r="204" spans="1:14" x14ac:dyDescent="0.3">
      <c r="A204" t="s">
        <v>11</v>
      </c>
      <c r="B204">
        <v>-0.17537347380905999</v>
      </c>
      <c r="C204">
        <v>-0.93293847454253098</v>
      </c>
      <c r="D204">
        <v>0.58219152692441201</v>
      </c>
      <c r="E204">
        <v>0.83914356409569102</v>
      </c>
      <c r="F204">
        <v>0.39339602608393198</v>
      </c>
      <c r="G204">
        <v>1.7899568741779399</v>
      </c>
      <c r="M204" s="2" t="str">
        <f>A208</f>
        <v>DMTNatalizumab</v>
      </c>
      <c r="N204" s="2">
        <f>B208</f>
        <v>-0.40164546345462798</v>
      </c>
    </row>
    <row r="205" spans="1:14" x14ac:dyDescent="0.3">
      <c r="A205" t="s">
        <v>12</v>
      </c>
      <c r="B205">
        <v>-0.36658961278531998</v>
      </c>
      <c r="C205">
        <v>-1.7871202611803301</v>
      </c>
      <c r="D205">
        <v>1.0539410356096901</v>
      </c>
      <c r="E205">
        <v>0.69309402361359795</v>
      </c>
      <c r="F205">
        <v>0.16744166430562199</v>
      </c>
      <c r="G205">
        <v>2.8689354442397099</v>
      </c>
    </row>
    <row r="206" spans="1:14" x14ac:dyDescent="0.3">
      <c r="A206" s="1" t="s">
        <v>19</v>
      </c>
      <c r="B206">
        <v>-0.13026657787271301</v>
      </c>
      <c r="C206">
        <v>-0.59764346153072201</v>
      </c>
      <c r="D206">
        <v>0.33711030578529699</v>
      </c>
      <c r="E206">
        <v>0.87786138130615798</v>
      </c>
      <c r="F206">
        <v>0.55010645687515203</v>
      </c>
      <c r="G206">
        <v>1.40089358188292</v>
      </c>
    </row>
    <row r="207" spans="1:14" x14ac:dyDescent="0.3">
      <c r="A207" t="s">
        <v>14</v>
      </c>
      <c r="B207">
        <v>-4.2111414784906702E-2</v>
      </c>
      <c r="C207">
        <v>-0.47777679228467101</v>
      </c>
      <c r="D207">
        <v>0.39355396271485799</v>
      </c>
      <c r="E207">
        <v>0.95876295425325497</v>
      </c>
      <c r="F207">
        <v>0.62016060616645996</v>
      </c>
      <c r="G207">
        <v>1.4822392672289399</v>
      </c>
    </row>
    <row r="208" spans="1:14" x14ac:dyDescent="0.3">
      <c r="A208" s="2" t="s">
        <v>15</v>
      </c>
      <c r="B208" s="2">
        <v>-0.40164546345462798</v>
      </c>
      <c r="C208">
        <v>-0.90057514818606299</v>
      </c>
      <c r="D208">
        <v>9.7284221276807997E-2</v>
      </c>
      <c r="E208">
        <v>0.66921796586197002</v>
      </c>
      <c r="F208">
        <v>0.40633588917109498</v>
      </c>
      <c r="G208">
        <v>1.10217359029258</v>
      </c>
    </row>
    <row r="209" spans="1:16" x14ac:dyDescent="0.3">
      <c r="A209" t="s">
        <v>16</v>
      </c>
      <c r="B209">
        <v>-0.28580408274476699</v>
      </c>
      <c r="C209">
        <v>-0.93124124638990702</v>
      </c>
      <c r="D209">
        <v>0.35963308090037199</v>
      </c>
      <c r="E209">
        <v>0.75140981567557397</v>
      </c>
      <c r="F209">
        <v>0.394064275820252</v>
      </c>
      <c r="G209">
        <v>1.4328035950945801</v>
      </c>
    </row>
    <row r="210" spans="1:16" x14ac:dyDescent="0.3">
      <c r="A210" t="s">
        <v>17</v>
      </c>
      <c r="B210">
        <v>0.102274195312285</v>
      </c>
      <c r="C210">
        <v>-1.3209379577976399</v>
      </c>
      <c r="D210">
        <v>1.5254863484222001</v>
      </c>
      <c r="E210">
        <v>1.1076871527168299</v>
      </c>
      <c r="F210">
        <v>0.26688485779773902</v>
      </c>
      <c r="G210">
        <v>4.5973789536751903</v>
      </c>
    </row>
    <row r="211" spans="1:16" x14ac:dyDescent="0.3">
      <c r="A211" t="s">
        <v>18</v>
      </c>
      <c r="B211">
        <v>-0.23458864468600299</v>
      </c>
      <c r="C211">
        <v>-2.2248104424095501</v>
      </c>
      <c r="D211">
        <v>1.75563315303754</v>
      </c>
      <c r="E211">
        <v>0.79089612204550297</v>
      </c>
      <c r="F211">
        <v>0.108087905575978</v>
      </c>
      <c r="G211">
        <v>5.7871107089490197</v>
      </c>
    </row>
    <row r="213" spans="1:16" x14ac:dyDescent="0.3">
      <c r="A213" s="2" t="s">
        <v>2</v>
      </c>
      <c r="B213" s="2" t="s">
        <v>9</v>
      </c>
      <c r="C213" s="2" t="s">
        <v>10</v>
      </c>
      <c r="D213" t="s">
        <v>11</v>
      </c>
      <c r="E213" t="s">
        <v>12</v>
      </c>
      <c r="F213" t="s">
        <v>13</v>
      </c>
      <c r="G213" t="s">
        <v>14</v>
      </c>
      <c r="H213" s="2" t="s">
        <v>15</v>
      </c>
      <c r="I213" t="s">
        <v>16</v>
      </c>
      <c r="J213" t="s">
        <v>17</v>
      </c>
      <c r="K213" t="s">
        <v>18</v>
      </c>
      <c r="M213" s="2"/>
      <c r="N213" s="2" t="str">
        <f t="shared" ref="N213:O215" si="7">B213</f>
        <v>(Intercept)</v>
      </c>
      <c r="O213" s="2" t="str">
        <f t="shared" si="7"/>
        <v>BaselineWebEDSS</v>
      </c>
      <c r="P213" s="2" t="str">
        <f>H213</f>
        <v>DMTNatalizumab</v>
      </c>
    </row>
    <row r="214" spans="1:16" x14ac:dyDescent="0.3">
      <c r="A214" s="2" t="s">
        <v>9</v>
      </c>
      <c r="B214" s="2">
        <v>5.3104247945483497E-2</v>
      </c>
      <c r="C214" s="2">
        <v>-7.4094810243937803E-3</v>
      </c>
      <c r="D214">
        <v>-2.4849852817537502E-2</v>
      </c>
      <c r="E214">
        <v>-2.94932384368338E-2</v>
      </c>
      <c r="F214">
        <v>-2.1900939145073201E-2</v>
      </c>
      <c r="G214">
        <v>-2.5132631749229299E-2</v>
      </c>
      <c r="H214">
        <v>-1.6908715670115801E-2</v>
      </c>
      <c r="I214">
        <v>-1.98371280632311E-2</v>
      </c>
      <c r="J214">
        <v>-3.3502842335527201E-2</v>
      </c>
      <c r="K214">
        <v>-3.82852858966959E-2</v>
      </c>
      <c r="M214" s="2" t="str">
        <f>A214</f>
        <v>(Intercept)</v>
      </c>
      <c r="N214" s="2">
        <f t="shared" si="7"/>
        <v>5.3104247945483497E-2</v>
      </c>
      <c r="O214" s="2">
        <f t="shared" si="7"/>
        <v>-7.4094810243937803E-3</v>
      </c>
      <c r="P214" s="2">
        <f>H214</f>
        <v>-1.6908715670115801E-2</v>
      </c>
    </row>
    <row r="215" spans="1:16" x14ac:dyDescent="0.3">
      <c r="A215" s="2" t="s">
        <v>10</v>
      </c>
      <c r="B215" s="2">
        <v>-7.4094810243937803E-3</v>
      </c>
      <c r="C215" s="2">
        <v>1.9119732942815401E-3</v>
      </c>
      <c r="D215">
        <v>1.18599415700946E-4</v>
      </c>
      <c r="E215">
        <v>1.31679794943319E-3</v>
      </c>
      <c r="F215">
        <v>-6.4235053077046998E-4</v>
      </c>
      <c r="G215">
        <v>1.91568867110576E-4</v>
      </c>
      <c r="H215">
        <v>-1.9305646353453599E-3</v>
      </c>
      <c r="I215">
        <v>-1.1749049242473499E-3</v>
      </c>
      <c r="J215">
        <v>2.3514528125349E-3</v>
      </c>
      <c r="K215">
        <v>3.5855344358307001E-3</v>
      </c>
      <c r="M215" s="2" t="str">
        <f>A215</f>
        <v>BaselineWebEDSS</v>
      </c>
      <c r="N215" s="2">
        <f t="shared" si="7"/>
        <v>-7.4094810243937803E-3</v>
      </c>
      <c r="O215" s="2">
        <f t="shared" si="7"/>
        <v>1.9119732942815401E-3</v>
      </c>
      <c r="P215" s="2">
        <f>H215</f>
        <v>-1.9305646353453599E-3</v>
      </c>
    </row>
    <row r="216" spans="1:16" x14ac:dyDescent="0.3">
      <c r="A216" t="s">
        <v>11</v>
      </c>
      <c r="B216">
        <v>-2.4849852817537502E-2</v>
      </c>
      <c r="C216">
        <v>1.18599415700946E-4</v>
      </c>
      <c r="D216">
        <v>0.14939760052734399</v>
      </c>
      <c r="E216">
        <v>2.4471924603319001E-2</v>
      </c>
      <c r="F216">
        <v>2.43503989179349E-2</v>
      </c>
      <c r="G216">
        <v>2.4402126812684399E-2</v>
      </c>
      <c r="H216">
        <v>2.42704911908985E-2</v>
      </c>
      <c r="I216">
        <v>2.4317364649054599E-2</v>
      </c>
      <c r="J216">
        <v>2.4536104088766299E-2</v>
      </c>
      <c r="K216">
        <v>2.4612653986135598E-2</v>
      </c>
      <c r="M216" s="2" t="str">
        <f>A220</f>
        <v>DMTNatalizumab</v>
      </c>
      <c r="N216" s="2">
        <f>B220</f>
        <v>-1.6908715670115801E-2</v>
      </c>
      <c r="O216" s="2">
        <f>C220</f>
        <v>-1.9305646353453599E-3</v>
      </c>
      <c r="P216" s="2">
        <f>H220</f>
        <v>6.4801119034572904E-2</v>
      </c>
    </row>
    <row r="217" spans="1:16" x14ac:dyDescent="0.3">
      <c r="A217" t="s">
        <v>12</v>
      </c>
      <c r="B217">
        <v>-2.94932384368338E-2</v>
      </c>
      <c r="C217">
        <v>1.31679794943319E-3</v>
      </c>
      <c r="D217">
        <v>2.4471924603319001E-2</v>
      </c>
      <c r="E217">
        <v>0.52529713768086705</v>
      </c>
      <c r="F217">
        <v>2.3947849642579799E-2</v>
      </c>
      <c r="G217">
        <v>2.4522179501896699E-2</v>
      </c>
      <c r="H217">
        <v>2.3060641805311099E-2</v>
      </c>
      <c r="I217">
        <v>2.3581073320238202E-2</v>
      </c>
      <c r="J217">
        <v>2.60097163617759E-2</v>
      </c>
      <c r="K217">
        <v>2.6859642537967399E-2</v>
      </c>
    </row>
    <row r="218" spans="1:16" x14ac:dyDescent="0.3">
      <c r="A218" t="s">
        <v>13</v>
      </c>
      <c r="B218">
        <v>-2.1900939145073201E-2</v>
      </c>
      <c r="C218">
        <v>-6.4235053077046998E-4</v>
      </c>
      <c r="D218">
        <v>2.43503989179349E-2</v>
      </c>
      <c r="E218">
        <v>2.3947849642579799E-2</v>
      </c>
      <c r="F218">
        <v>5.6864113758325299E-2</v>
      </c>
      <c r="G218">
        <v>2.4325883949037001E-2</v>
      </c>
      <c r="H218">
        <v>2.50388403411296E-2</v>
      </c>
      <c r="I218">
        <v>2.4784967330477501E-2</v>
      </c>
      <c r="J218">
        <v>2.36002448394869E-2</v>
      </c>
      <c r="K218">
        <v>2.3185640206614198E-2</v>
      </c>
    </row>
    <row r="219" spans="1:16" x14ac:dyDescent="0.3">
      <c r="A219" t="s">
        <v>14</v>
      </c>
      <c r="B219">
        <v>-2.5132631749229299E-2</v>
      </c>
      <c r="C219">
        <v>1.91568867110576E-4</v>
      </c>
      <c r="D219">
        <v>2.4402126812684399E-2</v>
      </c>
      <c r="E219">
        <v>2.4522179501896699E-2</v>
      </c>
      <c r="F219">
        <v>2.4325883949037001E-2</v>
      </c>
      <c r="G219">
        <v>4.9409437927468401E-2</v>
      </c>
      <c r="H219">
        <v>2.4196812210771902E-2</v>
      </c>
      <c r="I219">
        <v>2.4272525022875101E-2</v>
      </c>
      <c r="J219">
        <v>2.46258460439805E-2</v>
      </c>
      <c r="K219">
        <v>2.4749494015008099E-2</v>
      </c>
    </row>
    <row r="220" spans="1:16" x14ac:dyDescent="0.3">
      <c r="A220" s="2" t="s">
        <v>15</v>
      </c>
      <c r="B220" s="2">
        <v>-1.6908715670115801E-2</v>
      </c>
      <c r="C220" s="2">
        <v>-1.9305646353453599E-3</v>
      </c>
      <c r="D220">
        <v>2.42704911908985E-2</v>
      </c>
      <c r="E220">
        <v>2.3060641805311099E-2</v>
      </c>
      <c r="F220">
        <v>2.50388403411296E-2</v>
      </c>
      <c r="G220">
        <v>2.4196812210771902E-2</v>
      </c>
      <c r="H220" s="2">
        <v>6.4801119034572904E-2</v>
      </c>
      <c r="I220">
        <v>2.55765731021045E-2</v>
      </c>
      <c r="J220">
        <v>2.20159263302224E-2</v>
      </c>
      <c r="K220">
        <v>2.0769844940806501E-2</v>
      </c>
    </row>
    <row r="221" spans="1:16" x14ac:dyDescent="0.3">
      <c r="A221" t="s">
        <v>16</v>
      </c>
      <c r="B221">
        <v>-1.98371280632311E-2</v>
      </c>
      <c r="C221">
        <v>-1.1749049242473499E-3</v>
      </c>
      <c r="D221">
        <v>2.4317364649054599E-2</v>
      </c>
      <c r="E221">
        <v>2.3581073320238202E-2</v>
      </c>
      <c r="F221">
        <v>2.4784967330477501E-2</v>
      </c>
      <c r="G221">
        <v>2.4272525022875101E-2</v>
      </c>
      <c r="H221">
        <v>2.55765731021045E-2</v>
      </c>
      <c r="I221">
        <v>0.10844555458205</v>
      </c>
      <c r="J221">
        <v>2.2945279349061699E-2</v>
      </c>
      <c r="K221">
        <v>2.2186937911725799E-2</v>
      </c>
    </row>
    <row r="222" spans="1:16" x14ac:dyDescent="0.3">
      <c r="A222" t="s">
        <v>17</v>
      </c>
      <c r="B222">
        <v>-3.3502842335527201E-2</v>
      </c>
      <c r="C222">
        <v>2.3514528125349E-3</v>
      </c>
      <c r="D222">
        <v>2.4536104088766299E-2</v>
      </c>
      <c r="E222">
        <v>2.60097163617759E-2</v>
      </c>
      <c r="F222">
        <v>2.36002448394869E-2</v>
      </c>
      <c r="G222">
        <v>2.46258460439805E-2</v>
      </c>
      <c r="H222">
        <v>2.20159263302224E-2</v>
      </c>
      <c r="I222">
        <v>2.2945279349061699E-2</v>
      </c>
      <c r="J222">
        <v>0.52728219338136095</v>
      </c>
      <c r="K222">
        <v>2.8799936710457399E-2</v>
      </c>
    </row>
    <row r="223" spans="1:16" x14ac:dyDescent="0.3">
      <c r="A223" t="s">
        <v>18</v>
      </c>
      <c r="B223">
        <v>-3.82852858966959E-2</v>
      </c>
      <c r="C223">
        <v>3.5855344358307001E-3</v>
      </c>
      <c r="D223">
        <v>2.4612653986135598E-2</v>
      </c>
      <c r="E223">
        <v>2.6859642537967399E-2</v>
      </c>
      <c r="F223">
        <v>2.3185640206614198E-2</v>
      </c>
      <c r="G223">
        <v>2.4749494015008099E-2</v>
      </c>
      <c r="H223">
        <v>2.0769844940806501E-2</v>
      </c>
      <c r="I223">
        <v>2.2186937911725799E-2</v>
      </c>
      <c r="J223">
        <v>2.8799936710457399E-2</v>
      </c>
      <c r="K223">
        <v>1.03111421702503</v>
      </c>
    </row>
    <row r="225" spans="1:14" x14ac:dyDescent="0.3">
      <c r="A225" t="s">
        <v>27</v>
      </c>
      <c r="M225" s="2" t="str">
        <f>A225</f>
        <v>Time to SP Conversion (RRMS Highly Active)</v>
      </c>
    </row>
    <row r="227" spans="1:14" x14ac:dyDescent="0.3">
      <c r="A227" t="s">
        <v>1</v>
      </c>
    </row>
    <row r="229" spans="1:14" x14ac:dyDescent="0.3">
      <c r="A229" s="2" t="s">
        <v>2</v>
      </c>
      <c r="B229" s="2" t="s">
        <v>3</v>
      </c>
      <c r="C229" t="s">
        <v>4</v>
      </c>
      <c r="D229" t="s">
        <v>5</v>
      </c>
      <c r="E229" t="s">
        <v>6</v>
      </c>
      <c r="F229" t="s">
        <v>7</v>
      </c>
      <c r="G229" t="s">
        <v>8</v>
      </c>
    </row>
    <row r="230" spans="1:14" x14ac:dyDescent="0.3">
      <c r="A230" s="2" t="s">
        <v>9</v>
      </c>
      <c r="B230" s="2">
        <v>2.3975091041179701</v>
      </c>
      <c r="C230">
        <v>0.98470567818310994</v>
      </c>
      <c r="D230">
        <v>3.8103125300528302</v>
      </c>
      <c r="E230">
        <v>10.995752964604399</v>
      </c>
      <c r="F230">
        <v>2.6770238619337299</v>
      </c>
      <c r="G230">
        <v>45.164551940628101</v>
      </c>
      <c r="M230" s="2" t="str">
        <f>A230</f>
        <v>(Intercept)</v>
      </c>
      <c r="N230" s="2" cm="1">
        <f t="array" ref="N230:N231">B230:B231</f>
        <v>2.3975091041179701</v>
      </c>
    </row>
    <row r="231" spans="1:14" x14ac:dyDescent="0.3">
      <c r="A231" s="2" t="s">
        <v>10</v>
      </c>
      <c r="B231" s="2">
        <v>1.0933497901131101E-2</v>
      </c>
      <c r="C231">
        <v>-0.22185324465176501</v>
      </c>
      <c r="D231">
        <v>0.24372024045402699</v>
      </c>
      <c r="E231">
        <v>1.0109934870202699</v>
      </c>
      <c r="F231">
        <v>0.80103291157299095</v>
      </c>
      <c r="G231">
        <v>1.2759873109212001</v>
      </c>
      <c r="M231" s="2" t="str">
        <f>A231</f>
        <v>BaselineWebEDSS</v>
      </c>
      <c r="N231" s="2">
        <v>1.0933497901131101E-2</v>
      </c>
    </row>
    <row r="232" spans="1:14" x14ac:dyDescent="0.3">
      <c r="A232" t="s">
        <v>11</v>
      </c>
      <c r="B232">
        <v>0.25172165767443999</v>
      </c>
      <c r="C232">
        <v>-1.2049748429473801</v>
      </c>
      <c r="D232">
        <v>1.7084181582962601</v>
      </c>
      <c r="E232">
        <v>1.2862379729863</v>
      </c>
      <c r="F232">
        <v>0.29969953897548202</v>
      </c>
      <c r="G232">
        <v>5.5202224494821701</v>
      </c>
      <c r="M232" s="2" t="str">
        <f>A236</f>
        <v>DMTOcrelizumab</v>
      </c>
      <c r="N232" s="2">
        <f>B236</f>
        <v>0.29462873722503202</v>
      </c>
    </row>
    <row r="233" spans="1:14" x14ac:dyDescent="0.3">
      <c r="A233" t="s">
        <v>13</v>
      </c>
      <c r="B233">
        <v>0.28266137817025599</v>
      </c>
      <c r="C233">
        <v>-0.322890209667204</v>
      </c>
      <c r="D233">
        <v>0.88821296600771604</v>
      </c>
      <c r="E233">
        <v>1.3266558511165001</v>
      </c>
      <c r="F233">
        <v>0.72405334406184196</v>
      </c>
      <c r="G233">
        <v>2.4307818777939598</v>
      </c>
    </row>
    <row r="234" spans="1:14" x14ac:dyDescent="0.3">
      <c r="A234" t="s">
        <v>19</v>
      </c>
      <c r="B234">
        <v>-0.42843251622137901</v>
      </c>
      <c r="C234">
        <v>-1.12050567256224</v>
      </c>
      <c r="D234">
        <v>0.26364064011948601</v>
      </c>
      <c r="E234">
        <v>0.65152955674703505</v>
      </c>
      <c r="F234">
        <v>0.32611484559189902</v>
      </c>
      <c r="G234">
        <v>1.3016603477358899</v>
      </c>
    </row>
    <row r="235" spans="1:14" x14ac:dyDescent="0.3">
      <c r="A235" s="2" t="s">
        <v>15</v>
      </c>
      <c r="B235" s="2">
        <v>0.299532418473065</v>
      </c>
      <c r="C235">
        <v>-0.92744729584034302</v>
      </c>
      <c r="D235">
        <v>1.5265121327864699</v>
      </c>
      <c r="E235">
        <v>1.34922778607211</v>
      </c>
      <c r="F235">
        <v>0.39556217587870102</v>
      </c>
      <c r="G235">
        <v>4.6020972927079598</v>
      </c>
    </row>
    <row r="236" spans="1:14" x14ac:dyDescent="0.3">
      <c r="A236" t="s">
        <v>16</v>
      </c>
      <c r="B236">
        <v>0.29462873722503202</v>
      </c>
      <c r="C236">
        <v>-0.77107062471046395</v>
      </c>
      <c r="D236">
        <v>1.36032809916053</v>
      </c>
      <c r="E236">
        <v>1.3426277984213799</v>
      </c>
      <c r="F236">
        <v>0.46251762034576899</v>
      </c>
      <c r="G236">
        <v>3.8974718492805001</v>
      </c>
    </row>
    <row r="241" spans="1:16" x14ac:dyDescent="0.3">
      <c r="A241" s="2" t="s">
        <v>2</v>
      </c>
      <c r="B241" s="2" t="s">
        <v>9</v>
      </c>
      <c r="C241" s="2" t="s">
        <v>10</v>
      </c>
      <c r="D241" t="s">
        <v>11</v>
      </c>
      <c r="E241" t="s">
        <v>13</v>
      </c>
      <c r="F241" t="s">
        <v>14</v>
      </c>
      <c r="G241" s="2" t="s">
        <v>15</v>
      </c>
      <c r="H241" t="s">
        <v>16</v>
      </c>
      <c r="M241" s="2"/>
      <c r="N241" s="2" t="str">
        <f t="shared" ref="N241:O243" si="8">B241</f>
        <v>(Intercept)</v>
      </c>
      <c r="O241" s="2" t="str">
        <f t="shared" si="8"/>
        <v>BaselineWebEDSS</v>
      </c>
      <c r="P241" s="2" t="str">
        <f>H241</f>
        <v>DMTOcrelizumab</v>
      </c>
    </row>
    <row r="242" spans="1:16" x14ac:dyDescent="0.3">
      <c r="A242" s="2" t="s">
        <v>9</v>
      </c>
      <c r="B242" s="2">
        <v>0.519597791750535</v>
      </c>
      <c r="C242" s="2">
        <v>-8.1783357619617997E-2</v>
      </c>
      <c r="D242">
        <v>-0.102778935041485</v>
      </c>
      <c r="E242">
        <v>-4.4459609735650697E-2</v>
      </c>
      <c r="F242">
        <v>-1.2391595285294099E-2</v>
      </c>
      <c r="G242">
        <v>3.3402566340063201E-2</v>
      </c>
      <c r="H242">
        <v>-3.5906177979672098E-2</v>
      </c>
      <c r="M242" s="2" t="str">
        <f>A242</f>
        <v>(Intercept)</v>
      </c>
      <c r="N242" s="2">
        <f t="shared" si="8"/>
        <v>0.519597791750535</v>
      </c>
      <c r="O242" s="2">
        <f t="shared" si="8"/>
        <v>-8.1783357619617997E-2</v>
      </c>
      <c r="P242" s="2">
        <f>H242</f>
        <v>-3.5906177979672098E-2</v>
      </c>
    </row>
    <row r="243" spans="1:16" x14ac:dyDescent="0.3">
      <c r="A243" s="2" t="s">
        <v>10</v>
      </c>
      <c r="B243" s="2">
        <v>-8.1783357619617997E-2</v>
      </c>
      <c r="C243" s="2">
        <v>1.4106533490992E-2</v>
      </c>
      <c r="D243">
        <v>9.8876891977977693E-3</v>
      </c>
      <c r="E243">
        <v>-1.71613080120216E-4</v>
      </c>
      <c r="F243">
        <v>-5.70291593928598E-3</v>
      </c>
      <c r="G243">
        <v>-1.36017952890993E-2</v>
      </c>
      <c r="H243">
        <v>-1.64696546281186E-3</v>
      </c>
      <c r="M243" s="2" t="str">
        <f>A243</f>
        <v>BaselineWebEDSS</v>
      </c>
      <c r="N243" s="2">
        <f t="shared" si="8"/>
        <v>-8.1783357619617997E-2</v>
      </c>
      <c r="O243" s="2">
        <f t="shared" si="8"/>
        <v>1.4106533490992E-2</v>
      </c>
      <c r="P243" s="2">
        <f>H243</f>
        <v>-1.64696546281186E-3</v>
      </c>
    </row>
    <row r="244" spans="1:16" x14ac:dyDescent="0.3">
      <c r="A244" t="s">
        <v>11</v>
      </c>
      <c r="B244">
        <v>-0.102778935041485</v>
      </c>
      <c r="C244">
        <v>9.8876891977977693E-3</v>
      </c>
      <c r="D244">
        <v>0.55238512085375902</v>
      </c>
      <c r="E244">
        <v>4.5334256729049102E-2</v>
      </c>
      <c r="F244">
        <v>4.1457201918578102E-2</v>
      </c>
      <c r="G244">
        <v>3.5920642276074097E-2</v>
      </c>
      <c r="H244">
        <v>4.4300138330889798E-2</v>
      </c>
      <c r="M244" s="2" t="str">
        <f>A248</f>
        <v>DMTOcrelizumab</v>
      </c>
      <c r="N244" s="2">
        <f>B248</f>
        <v>-3.5906177979672098E-2</v>
      </c>
      <c r="O244" s="2">
        <f>C248</f>
        <v>-1.64696546281186E-3</v>
      </c>
      <c r="P244" s="2">
        <f>H248</f>
        <v>0.29564683185241297</v>
      </c>
    </row>
    <row r="245" spans="1:16" x14ac:dyDescent="0.3">
      <c r="A245" t="s">
        <v>13</v>
      </c>
      <c r="B245">
        <v>-4.4459609735650697E-2</v>
      </c>
      <c r="C245">
        <v>-1.71613080120216E-4</v>
      </c>
      <c r="D245">
        <v>4.5334256729049102E-2</v>
      </c>
      <c r="E245">
        <v>9.5456633182445599E-2</v>
      </c>
      <c r="F245">
        <v>4.5523924287717697E-2</v>
      </c>
      <c r="G245">
        <v>4.5620018130729197E-2</v>
      </c>
      <c r="H245">
        <v>4.5474581608701103E-2</v>
      </c>
    </row>
    <row r="246" spans="1:16" x14ac:dyDescent="0.3">
      <c r="A246" t="s">
        <v>14</v>
      </c>
      <c r="B246">
        <v>-1.2391595285294099E-2</v>
      </c>
      <c r="C246">
        <v>-5.70291593928598E-3</v>
      </c>
      <c r="D246">
        <v>4.1457201918578102E-2</v>
      </c>
      <c r="E246">
        <v>4.5523924287717697E-2</v>
      </c>
      <c r="F246">
        <v>0.124683167537134</v>
      </c>
      <c r="G246">
        <v>5.0953408450925497E-2</v>
      </c>
      <c r="H246">
        <v>4.6120372070207201E-2</v>
      </c>
    </row>
    <row r="247" spans="1:16" x14ac:dyDescent="0.3">
      <c r="A247" s="2" t="s">
        <v>15</v>
      </c>
      <c r="B247" s="2">
        <v>3.3402566340063201E-2</v>
      </c>
      <c r="C247" s="2">
        <v>-1.36017952890993E-2</v>
      </c>
      <c r="D247">
        <v>3.5920642276074097E-2</v>
      </c>
      <c r="E247">
        <v>4.5620018130729197E-2</v>
      </c>
      <c r="F247">
        <v>5.0953408450925497E-2</v>
      </c>
      <c r="G247" s="2">
        <v>0.39190299560847103</v>
      </c>
      <c r="H247">
        <v>4.7042581732302198E-2</v>
      </c>
    </row>
    <row r="248" spans="1:16" x14ac:dyDescent="0.3">
      <c r="A248" t="s">
        <v>16</v>
      </c>
      <c r="B248">
        <v>-3.5906177979672098E-2</v>
      </c>
      <c r="C248">
        <v>-1.64696546281186E-3</v>
      </c>
      <c r="D248">
        <v>4.4300138330889798E-2</v>
      </c>
      <c r="E248">
        <v>4.5474581608701103E-2</v>
      </c>
      <c r="F248">
        <v>4.6120372070207201E-2</v>
      </c>
      <c r="G248">
        <v>4.7042581732302198E-2</v>
      </c>
      <c r="H248">
        <v>0.29564683185241297</v>
      </c>
    </row>
    <row r="253" spans="1:16" x14ac:dyDescent="0.3">
      <c r="A253" t="s">
        <v>28</v>
      </c>
    </row>
    <row r="254" spans="1:16" x14ac:dyDescent="0.3">
      <c r="M254" s="2" t="str">
        <f>A253</f>
        <v>Time to SP Conversion (All RRMS)</v>
      </c>
    </row>
    <row r="255" spans="1:16" x14ac:dyDescent="0.3">
      <c r="A255" t="s">
        <v>1</v>
      </c>
    </row>
    <row r="257" spans="1:16" x14ac:dyDescent="0.3">
      <c r="A257" s="2" t="s">
        <v>2</v>
      </c>
      <c r="B257" s="2" t="s">
        <v>3</v>
      </c>
      <c r="C257" t="s">
        <v>4</v>
      </c>
      <c r="D257" t="s">
        <v>5</v>
      </c>
      <c r="E257" t="s">
        <v>6</v>
      </c>
      <c r="F257" t="s">
        <v>7</v>
      </c>
      <c r="G257" t="s">
        <v>8</v>
      </c>
    </row>
    <row r="258" spans="1:16" x14ac:dyDescent="0.3">
      <c r="A258" s="2" t="s">
        <v>9</v>
      </c>
      <c r="B258" s="2">
        <v>2.8136791622731798</v>
      </c>
      <c r="C258">
        <v>2.0704950543071199</v>
      </c>
      <c r="D258">
        <v>3.55686327023923</v>
      </c>
      <c r="E258">
        <v>16.671141359130999</v>
      </c>
      <c r="F258">
        <v>7.9287473069303402</v>
      </c>
      <c r="G258">
        <v>35.053072504051002</v>
      </c>
      <c r="M258" s="2" t="str">
        <f>A258</f>
        <v>(Intercept)</v>
      </c>
      <c r="N258" s="2" cm="1">
        <f t="array" ref="N258:N259">B258:B259</f>
        <v>2.8136791622731798</v>
      </c>
    </row>
    <row r="259" spans="1:16" x14ac:dyDescent="0.3">
      <c r="A259" s="2" t="s">
        <v>10</v>
      </c>
      <c r="B259" s="2">
        <v>-3.3352272980905401E-2</v>
      </c>
      <c r="C259">
        <v>-0.149965202251548</v>
      </c>
      <c r="D259">
        <v>8.3260656289737195E-2</v>
      </c>
      <c r="E259">
        <v>0.96719778192341099</v>
      </c>
      <c r="F259">
        <v>0.86073792764582702</v>
      </c>
      <c r="G259">
        <v>1.0868250594186599</v>
      </c>
      <c r="M259" s="2" t="str">
        <f>A259</f>
        <v>BaselineWebEDSS</v>
      </c>
      <c r="N259" s="2">
        <v>-3.3352272980905401E-2</v>
      </c>
    </row>
    <row r="260" spans="1:16" x14ac:dyDescent="0.3">
      <c r="A260" t="s">
        <v>11</v>
      </c>
      <c r="B260">
        <v>1.9156310914981201E-2</v>
      </c>
      <c r="C260">
        <v>-1.1353570228224199</v>
      </c>
      <c r="D260">
        <v>1.17366964465238</v>
      </c>
      <c r="E260">
        <v>1.0193409702849701</v>
      </c>
      <c r="F260">
        <v>0.32130738678408899</v>
      </c>
      <c r="G260">
        <v>3.2338379272920998</v>
      </c>
      <c r="M260" s="2" t="str">
        <f>A264</f>
        <v>DMTNatalizumab</v>
      </c>
      <c r="N260" s="2">
        <f>B264</f>
        <v>-9.2560285146737906E-2</v>
      </c>
    </row>
    <row r="261" spans="1:16" x14ac:dyDescent="0.3">
      <c r="A261" t="s">
        <v>12</v>
      </c>
      <c r="B261">
        <v>-1.43824872123183</v>
      </c>
      <c r="C261">
        <v>-2.8397501262435401</v>
      </c>
      <c r="D261">
        <v>-3.6747316220125899E-2</v>
      </c>
      <c r="E261">
        <v>0.23734304877371101</v>
      </c>
      <c r="F261">
        <v>5.8440266829239598E-2</v>
      </c>
      <c r="G261">
        <v>0.963919671445023</v>
      </c>
    </row>
    <row r="262" spans="1:16" x14ac:dyDescent="0.3">
      <c r="A262" t="s">
        <v>19</v>
      </c>
      <c r="B262">
        <v>0.10885892703175799</v>
      </c>
      <c r="C262">
        <v>-0.27822783416804397</v>
      </c>
      <c r="D262">
        <v>0.49594568823155999</v>
      </c>
      <c r="E262">
        <v>1.1150050421748401</v>
      </c>
      <c r="F262">
        <v>0.75712430307658696</v>
      </c>
      <c r="G262">
        <v>1.64205037273722</v>
      </c>
    </row>
    <row r="263" spans="1:16" x14ac:dyDescent="0.3">
      <c r="A263" t="s">
        <v>14</v>
      </c>
      <c r="B263">
        <v>-0.112086210201799</v>
      </c>
      <c r="C263">
        <v>-0.498150967710554</v>
      </c>
      <c r="D263">
        <v>0.27397854730695698</v>
      </c>
      <c r="E263">
        <v>0.89396718508676298</v>
      </c>
      <c r="F263">
        <v>0.60765319196635204</v>
      </c>
      <c r="G263">
        <v>1.31518658764193</v>
      </c>
    </row>
    <row r="264" spans="1:16" x14ac:dyDescent="0.3">
      <c r="A264" s="2" t="s">
        <v>15</v>
      </c>
      <c r="B264" s="2">
        <v>-9.2560285146737906E-2</v>
      </c>
      <c r="C264">
        <v>-0.51282997107181905</v>
      </c>
      <c r="D264">
        <v>0.32770940077834299</v>
      </c>
      <c r="E264">
        <v>0.91159425371457503</v>
      </c>
      <c r="F264">
        <v>0.598798596034115</v>
      </c>
      <c r="G264">
        <v>1.3877856242636999</v>
      </c>
    </row>
    <row r="265" spans="1:16" x14ac:dyDescent="0.3">
      <c r="A265" t="s">
        <v>16</v>
      </c>
      <c r="B265">
        <v>0.14118041283299201</v>
      </c>
      <c r="C265">
        <v>-0.858473476631888</v>
      </c>
      <c r="D265">
        <v>1.14083430229787</v>
      </c>
      <c r="E265">
        <v>1.15163239850733</v>
      </c>
      <c r="F265">
        <v>0.42380854241759502</v>
      </c>
      <c r="G265">
        <v>3.12937812373054</v>
      </c>
    </row>
    <row r="269" spans="1:16" x14ac:dyDescent="0.3">
      <c r="A269" s="2" t="s">
        <v>2</v>
      </c>
      <c r="B269" s="2" t="s">
        <v>9</v>
      </c>
      <c r="C269" s="2" t="s">
        <v>10</v>
      </c>
      <c r="D269" t="s">
        <v>11</v>
      </c>
      <c r="E269" t="s">
        <v>12</v>
      </c>
      <c r="F269" t="s">
        <v>13</v>
      </c>
      <c r="G269" t="s">
        <v>14</v>
      </c>
      <c r="H269" s="2" t="s">
        <v>15</v>
      </c>
      <c r="I269" t="s">
        <v>16</v>
      </c>
      <c r="M269" s="2"/>
      <c r="N269" s="2" t="str">
        <f t="shared" ref="N269:O271" si="9">B269</f>
        <v>(Intercept)</v>
      </c>
      <c r="O269" s="2" t="str">
        <f t="shared" si="9"/>
        <v>BaselineWebEDSS</v>
      </c>
      <c r="P269" s="2" t="str">
        <f>H269</f>
        <v>DMTNatalizumab</v>
      </c>
    </row>
    <row r="270" spans="1:16" x14ac:dyDescent="0.3">
      <c r="A270" s="2" t="s">
        <v>9</v>
      </c>
      <c r="B270" s="2">
        <v>0.14377939322371899</v>
      </c>
      <c r="C270" s="2">
        <v>-2.1761720330557101E-2</v>
      </c>
      <c r="D270">
        <v>-3.2080722558583498E-2</v>
      </c>
      <c r="E270">
        <v>-2.32774838371432E-2</v>
      </c>
      <c r="F270">
        <v>-1.7616100988195299E-2</v>
      </c>
      <c r="G270">
        <v>-1.552154163571E-2</v>
      </c>
      <c r="H270">
        <v>-4.0485822939553898E-3</v>
      </c>
      <c r="I270">
        <v>-1.42905446773651E-2</v>
      </c>
      <c r="M270" s="2" t="str">
        <f>A270</f>
        <v>(Intercept)</v>
      </c>
      <c r="N270" s="2">
        <f t="shared" si="9"/>
        <v>0.14377939322371899</v>
      </c>
      <c r="O270" s="2">
        <f t="shared" si="9"/>
        <v>-2.1761720330557101E-2</v>
      </c>
      <c r="P270" s="2">
        <f>H270</f>
        <v>-4.0485822939553898E-3</v>
      </c>
    </row>
    <row r="271" spans="1:16" x14ac:dyDescent="0.3">
      <c r="A271" s="2" t="s">
        <v>10</v>
      </c>
      <c r="B271" s="2">
        <v>-2.1761720330557101E-2</v>
      </c>
      <c r="C271" s="2">
        <v>3.5399508123902502E-3</v>
      </c>
      <c r="D271">
        <v>3.5918424919591302E-3</v>
      </c>
      <c r="E271">
        <v>2.1598310705151298E-3</v>
      </c>
      <c r="F271">
        <v>1.23890126758754E-3</v>
      </c>
      <c r="G271">
        <v>8.98182015212127E-4</v>
      </c>
      <c r="H271">
        <v>-9.6810939582746595E-4</v>
      </c>
      <c r="I271">
        <v>6.9793733710072703E-4</v>
      </c>
      <c r="M271" s="2" t="str">
        <f>A271</f>
        <v>BaselineWebEDSS</v>
      </c>
      <c r="N271" s="2">
        <f t="shared" si="9"/>
        <v>-2.1761720330557101E-2</v>
      </c>
      <c r="O271" s="2">
        <f t="shared" si="9"/>
        <v>3.5399508123902502E-3</v>
      </c>
      <c r="P271" s="2">
        <f>H271</f>
        <v>-9.6810939582746595E-4</v>
      </c>
    </row>
    <row r="272" spans="1:16" x14ac:dyDescent="0.3">
      <c r="A272" t="s">
        <v>11</v>
      </c>
      <c r="B272">
        <v>-3.2080722558583498E-2</v>
      </c>
      <c r="C272">
        <v>3.5918424919591302E-3</v>
      </c>
      <c r="D272">
        <v>0.34697782795354898</v>
      </c>
      <c r="E272">
        <v>1.21914917476741E-2</v>
      </c>
      <c r="F272">
        <v>1.12570621542772E-2</v>
      </c>
      <c r="G272">
        <v>1.0911348342597301E-2</v>
      </c>
      <c r="H272">
        <v>9.0176992079575094E-3</v>
      </c>
      <c r="I272">
        <v>1.07081683037359E-2</v>
      </c>
      <c r="M272" s="2" t="str">
        <f>A276</f>
        <v>DMTNatalizumab</v>
      </c>
      <c r="N272" s="2">
        <f>B276</f>
        <v>-4.0485822939553898E-3</v>
      </c>
      <c r="O272" s="2">
        <f>C276</f>
        <v>-9.6810939582746595E-4</v>
      </c>
      <c r="P272" s="2">
        <f>H276</f>
        <v>4.59790452408523E-2</v>
      </c>
    </row>
    <row r="273" spans="1:9" x14ac:dyDescent="0.3">
      <c r="A273" t="s">
        <v>12</v>
      </c>
      <c r="B273">
        <v>-2.32774838371432E-2</v>
      </c>
      <c r="C273">
        <v>2.1598310705151298E-3</v>
      </c>
      <c r="D273">
        <v>1.21914917476741E-2</v>
      </c>
      <c r="E273">
        <v>0.51131777794115996</v>
      </c>
      <c r="F273">
        <v>1.07558911326299E-2</v>
      </c>
      <c r="G273">
        <v>1.0548008010348201E-2</v>
      </c>
      <c r="H273">
        <v>9.4093271670748508E-3</v>
      </c>
      <c r="I273">
        <v>1.0425832675036601E-2</v>
      </c>
    </row>
    <row r="274" spans="1:9" x14ac:dyDescent="0.3">
      <c r="A274" t="s">
        <v>13</v>
      </c>
      <c r="B274">
        <v>-1.7616100988195299E-2</v>
      </c>
      <c r="C274">
        <v>1.23890126758754E-3</v>
      </c>
      <c r="D274">
        <v>1.12570621542772E-2</v>
      </c>
      <c r="E274">
        <v>1.07558911326299E-2</v>
      </c>
      <c r="F274">
        <v>3.9005015461568399E-2</v>
      </c>
      <c r="G274">
        <v>1.0314343016086899E-2</v>
      </c>
      <c r="H274">
        <v>9.6611839985288796E-3</v>
      </c>
      <c r="I274">
        <v>1.02442619899124E-2</v>
      </c>
    </row>
    <row r="275" spans="1:9" x14ac:dyDescent="0.3">
      <c r="A275" t="s">
        <v>14</v>
      </c>
      <c r="B275">
        <v>-1.552154163571E-2</v>
      </c>
      <c r="C275">
        <v>8.98182015212127E-4</v>
      </c>
      <c r="D275">
        <v>1.0911348342597301E-2</v>
      </c>
      <c r="E275">
        <v>1.0548008010348201E-2</v>
      </c>
      <c r="F275">
        <v>1.0314343016086899E-2</v>
      </c>
      <c r="G275">
        <v>3.8799321806438802E-2</v>
      </c>
      <c r="H275">
        <v>9.7543642507542608E-3</v>
      </c>
      <c r="I275">
        <v>1.01770857210022E-2</v>
      </c>
    </row>
    <row r="276" spans="1:9" x14ac:dyDescent="0.3">
      <c r="A276" s="2" t="s">
        <v>15</v>
      </c>
      <c r="B276" s="2">
        <v>-4.0485822939553898E-3</v>
      </c>
      <c r="C276" s="2">
        <v>-9.6810939582746595E-4</v>
      </c>
      <c r="D276">
        <v>9.0176992079575094E-3</v>
      </c>
      <c r="E276">
        <v>9.4093271670748508E-3</v>
      </c>
      <c r="F276">
        <v>9.6611839985288796E-3</v>
      </c>
      <c r="G276">
        <v>9.7543642507542608E-3</v>
      </c>
      <c r="H276" s="2">
        <v>4.59790452408523E-2</v>
      </c>
      <c r="I276">
        <v>9.8091273716613501E-3</v>
      </c>
    </row>
    <row r="277" spans="1:9" x14ac:dyDescent="0.3">
      <c r="A277" t="s">
        <v>16</v>
      </c>
      <c r="B277">
        <v>-1.42905446773651E-2</v>
      </c>
      <c r="C277">
        <v>6.9793733710072703E-4</v>
      </c>
      <c r="D277">
        <v>1.07081683037359E-2</v>
      </c>
      <c r="E277">
        <v>1.0425832675036601E-2</v>
      </c>
      <c r="F277">
        <v>1.02442619899124E-2</v>
      </c>
      <c r="G277">
        <v>1.01770857210022E-2</v>
      </c>
      <c r="H277">
        <v>9.8091273716613501E-3</v>
      </c>
      <c r="I277">
        <v>0.26013760536464497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7838-3AF5-446C-9D66-DFC9725BB240}">
  <dimension ref="A1:G103"/>
  <sheetViews>
    <sheetView tabSelected="1" topLeftCell="A25" workbookViewId="0">
      <selection activeCell="C51" sqref="C51"/>
    </sheetView>
  </sheetViews>
  <sheetFormatPr defaultColWidth="11.5546875" defaultRowHeight="14.4" x14ac:dyDescent="0.3"/>
  <sheetData>
    <row r="1" spans="1:7" x14ac:dyDescent="0.3">
      <c r="A1" s="4" t="s">
        <v>21</v>
      </c>
      <c r="B1" s="4"/>
    </row>
    <row r="3" spans="1:7" x14ac:dyDescent="0.3">
      <c r="A3" t="s">
        <v>1</v>
      </c>
    </row>
    <row r="5" spans="1:7" x14ac:dyDescent="0.3">
      <c r="A5" s="4" t="s">
        <v>2</v>
      </c>
      <c r="B5" s="4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 spans="1:7" x14ac:dyDescent="0.3">
      <c r="A6" s="4" t="s">
        <v>9</v>
      </c>
      <c r="B6" s="4">
        <v>3.5071491149592999</v>
      </c>
      <c r="C6">
        <v>3.0753462564886398</v>
      </c>
      <c r="D6">
        <v>3.9389519734299498</v>
      </c>
      <c r="E6">
        <v>33.353046414763597</v>
      </c>
      <c r="F6">
        <v>21.6573796215927</v>
      </c>
      <c r="G6">
        <v>51.364741468366397</v>
      </c>
    </row>
    <row r="7" spans="1:7" x14ac:dyDescent="0.3">
      <c r="A7" s="4" t="s">
        <v>10</v>
      </c>
      <c r="B7" s="4">
        <v>-0.137924847521192</v>
      </c>
      <c r="C7">
        <v>-0.23444851876497499</v>
      </c>
      <c r="D7">
        <v>-4.1401176277408899E-2</v>
      </c>
      <c r="E7">
        <v>0.87116415943176795</v>
      </c>
      <c r="F7">
        <v>0.79100695485813599</v>
      </c>
      <c r="G7">
        <v>0.95944414649877496</v>
      </c>
    </row>
    <row r="9" spans="1:7" x14ac:dyDescent="0.3">
      <c r="A9" t="s">
        <v>19</v>
      </c>
    </row>
    <row r="10" spans="1:7" x14ac:dyDescent="0.3">
      <c r="A10" s="4" t="s">
        <v>2</v>
      </c>
      <c r="B10" s="4" t="s">
        <v>9</v>
      </c>
      <c r="C10" s="4" t="s">
        <v>10</v>
      </c>
    </row>
    <row r="11" spans="1:7" x14ac:dyDescent="0.3">
      <c r="A11" s="4" t="s">
        <v>9</v>
      </c>
      <c r="B11" s="4">
        <v>4.85372139300288E-2</v>
      </c>
      <c r="C11" s="4">
        <v>-9.9457478203662103E-3</v>
      </c>
    </row>
    <row r="12" spans="1:7" x14ac:dyDescent="0.3">
      <c r="A12" s="4" t="s">
        <v>10</v>
      </c>
      <c r="B12" s="4">
        <v>-9.9457478203662103E-3</v>
      </c>
      <c r="C12" s="4">
        <v>2.4253335894654799E-3</v>
      </c>
    </row>
    <row r="14" spans="1:7" x14ac:dyDescent="0.3">
      <c r="A14" s="4" t="s">
        <v>22</v>
      </c>
      <c r="B14" s="4"/>
    </row>
    <row r="16" spans="1:7" x14ac:dyDescent="0.3">
      <c r="A16" t="s">
        <v>1</v>
      </c>
    </row>
    <row r="18" spans="1:7" x14ac:dyDescent="0.3">
      <c r="A18" s="4" t="s">
        <v>2</v>
      </c>
      <c r="B18" s="4" t="s">
        <v>3</v>
      </c>
      <c r="C18" t="s">
        <v>4</v>
      </c>
      <c r="D18" t="s">
        <v>5</v>
      </c>
      <c r="E18" t="s">
        <v>6</v>
      </c>
      <c r="F18" t="s">
        <v>7</v>
      </c>
      <c r="G18" t="s">
        <v>8</v>
      </c>
    </row>
    <row r="19" spans="1:7" x14ac:dyDescent="0.3">
      <c r="A19" s="4" t="s">
        <v>9</v>
      </c>
      <c r="B19" s="4">
        <v>1.88774266700013</v>
      </c>
      <c r="C19">
        <v>0.62774208146017296</v>
      </c>
      <c r="D19">
        <v>3.1477432525400801</v>
      </c>
      <c r="E19">
        <v>6.6044434136680303</v>
      </c>
      <c r="F19">
        <v>1.87337587014008</v>
      </c>
      <c r="G19">
        <v>23.283460356026399</v>
      </c>
    </row>
    <row r="20" spans="1:7" x14ac:dyDescent="0.3">
      <c r="A20" s="4" t="s">
        <v>10</v>
      </c>
      <c r="B20" s="4">
        <v>0.20440888444584299</v>
      </c>
      <c r="C20">
        <v>-1.2122078735466E-2</v>
      </c>
      <c r="D20">
        <v>0.42093984762715098</v>
      </c>
      <c r="E20">
        <v>1.22679967022134</v>
      </c>
      <c r="F20">
        <v>0.98795109767909906</v>
      </c>
      <c r="G20">
        <v>1.52339263997057</v>
      </c>
    </row>
    <row r="22" spans="1:7" x14ac:dyDescent="0.3">
      <c r="A22" t="s">
        <v>19</v>
      </c>
    </row>
    <row r="23" spans="1:7" x14ac:dyDescent="0.3">
      <c r="A23" s="4" t="s">
        <v>2</v>
      </c>
      <c r="B23" s="4" t="s">
        <v>9</v>
      </c>
      <c r="C23" s="4" t="s">
        <v>10</v>
      </c>
    </row>
    <row r="24" spans="1:7" x14ac:dyDescent="0.3">
      <c r="A24" s="4" t="s">
        <v>9</v>
      </c>
      <c r="B24" s="4">
        <v>0.41328087834979299</v>
      </c>
      <c r="C24" s="4">
        <v>-6.8523311664260303E-2</v>
      </c>
    </row>
    <row r="25" spans="1:7" x14ac:dyDescent="0.3">
      <c r="A25" s="4" t="s">
        <v>10</v>
      </c>
      <c r="B25" s="4">
        <v>-6.8523311664260303E-2</v>
      </c>
      <c r="C25" s="4">
        <v>1.22051700160496E-2</v>
      </c>
    </row>
    <row r="27" spans="1:7" x14ac:dyDescent="0.3">
      <c r="A27" s="4" t="s">
        <v>23</v>
      </c>
      <c r="B27" s="4"/>
    </row>
    <row r="29" spans="1:7" x14ac:dyDescent="0.3">
      <c r="A29" t="s">
        <v>1</v>
      </c>
    </row>
    <row r="31" spans="1:7" x14ac:dyDescent="0.3">
      <c r="A31" s="4" t="s">
        <v>2</v>
      </c>
      <c r="B31" s="4" t="s">
        <v>3</v>
      </c>
      <c r="C31" t="s">
        <v>4</v>
      </c>
      <c r="D31" t="s">
        <v>5</v>
      </c>
      <c r="E31" t="s">
        <v>6</v>
      </c>
      <c r="F31" t="s">
        <v>7</v>
      </c>
      <c r="G31" t="s">
        <v>8</v>
      </c>
    </row>
    <row r="32" spans="1:7" x14ac:dyDescent="0.3">
      <c r="A32" s="4" t="s">
        <v>9</v>
      </c>
      <c r="B32" s="4">
        <v>10.3405958779194</v>
      </c>
      <c r="C32">
        <v>5.0615857862878801</v>
      </c>
      <c r="D32">
        <v>15.6196059695509</v>
      </c>
      <c r="E32">
        <v>30964.4755981462</v>
      </c>
      <c r="F32">
        <v>157.84061945590099</v>
      </c>
      <c r="G32">
        <v>6074474.0636048401</v>
      </c>
    </row>
    <row r="33" spans="1:7" x14ac:dyDescent="0.3">
      <c r="A33" s="4" t="s">
        <v>10</v>
      </c>
      <c r="B33" s="4">
        <v>-0.99003801329779295</v>
      </c>
      <c r="C33">
        <v>-1.78080573929592</v>
      </c>
      <c r="D33">
        <v>-0.199270287299667</v>
      </c>
      <c r="E33">
        <v>0.37156256643509999</v>
      </c>
      <c r="F33">
        <v>0.168502323613127</v>
      </c>
      <c r="G33">
        <v>0.81932840933881801</v>
      </c>
    </row>
    <row r="35" spans="1:7" x14ac:dyDescent="0.3">
      <c r="A35" t="s">
        <v>19</v>
      </c>
    </row>
    <row r="36" spans="1:7" x14ac:dyDescent="0.3">
      <c r="A36" s="4" t="s">
        <v>2</v>
      </c>
      <c r="B36" s="4" t="s">
        <v>9</v>
      </c>
      <c r="C36" s="4" t="s">
        <v>10</v>
      </c>
    </row>
    <row r="37" spans="1:7" x14ac:dyDescent="0.3">
      <c r="A37" s="4" t="s">
        <v>9</v>
      </c>
      <c r="B37" s="4">
        <v>7.2545220053958497</v>
      </c>
      <c r="C37" s="4">
        <v>-1.0813258932986201</v>
      </c>
    </row>
    <row r="38" spans="1:7" x14ac:dyDescent="0.3">
      <c r="A38" s="4" t="s">
        <v>10</v>
      </c>
      <c r="B38" s="4">
        <v>-1.0813258932986201</v>
      </c>
      <c r="C38" s="4">
        <v>0.162780242003806</v>
      </c>
    </row>
    <row r="40" spans="1:7" x14ac:dyDescent="0.3">
      <c r="A40" s="4" t="s">
        <v>24</v>
      </c>
      <c r="B40" s="4"/>
    </row>
    <row r="42" spans="1:7" x14ac:dyDescent="0.3">
      <c r="A42" t="s">
        <v>1</v>
      </c>
    </row>
    <row r="44" spans="1:7" x14ac:dyDescent="0.3">
      <c r="A44" s="4" t="s">
        <v>2</v>
      </c>
      <c r="B44" s="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</row>
    <row r="45" spans="1:7" x14ac:dyDescent="0.3">
      <c r="A45" s="4" t="s">
        <v>9</v>
      </c>
      <c r="B45" s="4">
        <v>4.8340183103396397</v>
      </c>
      <c r="C45">
        <v>3.0069738018935301</v>
      </c>
      <c r="D45">
        <v>6.6610628187857603</v>
      </c>
      <c r="E45">
        <v>125.71510938726701</v>
      </c>
      <c r="F45">
        <v>20.226099035102902</v>
      </c>
      <c r="G45">
        <v>781.38096233107899</v>
      </c>
    </row>
    <row r="46" spans="1:7" x14ac:dyDescent="0.3">
      <c r="A46" s="4" t="s">
        <v>10</v>
      </c>
      <c r="B46" s="4">
        <v>-6.7234350635073298E-2</v>
      </c>
      <c r="C46">
        <v>-0.35717363632258903</v>
      </c>
      <c r="D46">
        <v>0.22270493505244199</v>
      </c>
      <c r="E46">
        <v>0.93497606342598305</v>
      </c>
      <c r="F46">
        <v>0.69965100235976596</v>
      </c>
      <c r="G46">
        <v>1.24945184989535</v>
      </c>
    </row>
    <row r="48" spans="1:7" x14ac:dyDescent="0.3">
      <c r="A48" t="s">
        <v>19</v>
      </c>
    </row>
    <row r="49" spans="1:7" x14ac:dyDescent="0.3">
      <c r="A49" s="4" t="s">
        <v>2</v>
      </c>
      <c r="B49" s="4" t="s">
        <v>9</v>
      </c>
      <c r="C49" s="4" t="s">
        <v>10</v>
      </c>
    </row>
    <row r="50" spans="1:7" x14ac:dyDescent="0.3">
      <c r="A50" s="4" t="s">
        <v>9</v>
      </c>
      <c r="B50" s="4">
        <v>0.86896457612942402</v>
      </c>
      <c r="C50" s="4">
        <v>-0.13573720835203701</v>
      </c>
    </row>
    <row r="51" spans="1:7" x14ac:dyDescent="0.3">
      <c r="A51" s="4" t="s">
        <v>10</v>
      </c>
      <c r="B51" s="4">
        <v>-0.13573720835203701</v>
      </c>
      <c r="C51" s="4">
        <v>2.1883558644993299E-2</v>
      </c>
    </row>
    <row r="53" spans="1:7" x14ac:dyDescent="0.3">
      <c r="A53" t="s">
        <v>25</v>
      </c>
    </row>
    <row r="55" spans="1:7" x14ac:dyDescent="0.3">
      <c r="A55" t="s">
        <v>1</v>
      </c>
    </row>
    <row r="57" spans="1:7" x14ac:dyDescent="0.3">
      <c r="A57" t="s">
        <v>2</v>
      </c>
      <c r="B57" t="s">
        <v>3</v>
      </c>
      <c r="C57" t="s">
        <v>4</v>
      </c>
      <c r="D57" t="s">
        <v>5</v>
      </c>
      <c r="E57" t="s">
        <v>6</v>
      </c>
      <c r="F57" t="s">
        <v>7</v>
      </c>
      <c r="G57" t="s">
        <v>8</v>
      </c>
    </row>
    <row r="58" spans="1:7" x14ac:dyDescent="0.3">
      <c r="A58" t="s">
        <v>9</v>
      </c>
      <c r="B58">
        <v>2.3222247091040198</v>
      </c>
      <c r="C58">
        <v>1.71179033087052</v>
      </c>
      <c r="D58">
        <v>2.93265908733752</v>
      </c>
      <c r="E58">
        <v>10.1983374214138</v>
      </c>
      <c r="F58">
        <v>5.5388690142772798</v>
      </c>
      <c r="G58">
        <v>18.777495169666899</v>
      </c>
    </row>
    <row r="59" spans="1:7" x14ac:dyDescent="0.3">
      <c r="A59" t="s">
        <v>10</v>
      </c>
      <c r="B59">
        <v>7.1990119044455902E-2</v>
      </c>
      <c r="C59">
        <v>-8.1144310098238304E-2</v>
      </c>
      <c r="D59">
        <v>0.22512454818715</v>
      </c>
      <c r="E59">
        <v>1.0746447254945899</v>
      </c>
      <c r="F59">
        <v>0.92206061918446702</v>
      </c>
      <c r="G59">
        <v>1.25247870042947</v>
      </c>
    </row>
    <row r="61" spans="1:7" x14ac:dyDescent="0.3">
      <c r="A61" t="s">
        <v>19</v>
      </c>
    </row>
    <row r="62" spans="1:7" x14ac:dyDescent="0.3">
      <c r="A62" t="s">
        <v>2</v>
      </c>
      <c r="B62" t="s">
        <v>9</v>
      </c>
      <c r="C62" t="s">
        <v>10</v>
      </c>
    </row>
    <row r="63" spans="1:7" x14ac:dyDescent="0.3">
      <c r="A63" t="s">
        <v>9</v>
      </c>
      <c r="B63">
        <v>9.7002245116346197E-2</v>
      </c>
      <c r="C63">
        <v>-2.1365720847401501E-2</v>
      </c>
    </row>
    <row r="64" spans="1:7" x14ac:dyDescent="0.3">
      <c r="A64" t="s">
        <v>10</v>
      </c>
      <c r="B64">
        <v>-2.1365720847401501E-2</v>
      </c>
      <c r="C64">
        <v>6.10449167449921E-3</v>
      </c>
    </row>
    <row r="66" spans="1:7" x14ac:dyDescent="0.3">
      <c r="A66" t="s">
        <v>26</v>
      </c>
    </row>
    <row r="68" spans="1:7" x14ac:dyDescent="0.3">
      <c r="A68" t="s">
        <v>1</v>
      </c>
    </row>
    <row r="70" spans="1:7" x14ac:dyDescent="0.3">
      <c r="A70" t="s">
        <v>2</v>
      </c>
      <c r="B70" t="s">
        <v>3</v>
      </c>
      <c r="C70" t="s">
        <v>4</v>
      </c>
      <c r="D70" t="s">
        <v>5</v>
      </c>
      <c r="E70" t="s">
        <v>6</v>
      </c>
      <c r="F70" t="s">
        <v>7</v>
      </c>
      <c r="G70" t="s">
        <v>8</v>
      </c>
    </row>
    <row r="71" spans="1:7" x14ac:dyDescent="0.3">
      <c r="A71" t="s">
        <v>9</v>
      </c>
      <c r="B71">
        <v>2.5660254758347598</v>
      </c>
      <c r="C71">
        <v>2.1959158728185102</v>
      </c>
      <c r="D71">
        <v>2.9361350788510099</v>
      </c>
      <c r="E71">
        <v>13.0139970687526</v>
      </c>
      <c r="F71">
        <v>8.9882293631634091</v>
      </c>
      <c r="G71">
        <v>18.842879154776298</v>
      </c>
    </row>
    <row r="72" spans="1:7" x14ac:dyDescent="0.3">
      <c r="A72" t="s">
        <v>10</v>
      </c>
      <c r="B72">
        <v>6.0044925807668202E-2</v>
      </c>
      <c r="C72">
        <v>-2.2439633930619599E-2</v>
      </c>
      <c r="D72">
        <v>0.14252948554595599</v>
      </c>
      <c r="E72">
        <v>1.06188425148141</v>
      </c>
      <c r="F72">
        <v>0.97781026197388698</v>
      </c>
      <c r="G72">
        <v>1.15318708280681</v>
      </c>
    </row>
    <row r="74" spans="1:7" x14ac:dyDescent="0.3">
      <c r="A74" t="s">
        <v>19</v>
      </c>
    </row>
    <row r="75" spans="1:7" x14ac:dyDescent="0.3">
      <c r="A75" t="s">
        <v>2</v>
      </c>
      <c r="B75" t="s">
        <v>9</v>
      </c>
      <c r="C75" t="s">
        <v>10</v>
      </c>
    </row>
    <row r="76" spans="1:7" x14ac:dyDescent="0.3">
      <c r="A76" t="s">
        <v>9</v>
      </c>
      <c r="B76">
        <v>3.5658619456473202E-2</v>
      </c>
      <c r="C76">
        <v>-7.2311870350503099E-3</v>
      </c>
    </row>
    <row r="77" spans="1:7" x14ac:dyDescent="0.3">
      <c r="A77" t="s">
        <v>10</v>
      </c>
      <c r="B77">
        <v>-7.2311870350503099E-3</v>
      </c>
      <c r="C77">
        <v>1.77112469840033E-3</v>
      </c>
    </row>
    <row r="79" spans="1:7" x14ac:dyDescent="0.3">
      <c r="A79" t="s">
        <v>27</v>
      </c>
    </row>
    <row r="81" spans="1:7" x14ac:dyDescent="0.3">
      <c r="A81" t="s">
        <v>1</v>
      </c>
    </row>
    <row r="83" spans="1:7" x14ac:dyDescent="0.3">
      <c r="A83" t="s">
        <v>2</v>
      </c>
      <c r="B83" t="s">
        <v>3</v>
      </c>
      <c r="C83" t="s">
        <v>4</v>
      </c>
      <c r="D83" t="s">
        <v>5</v>
      </c>
      <c r="E83" t="s">
        <v>6</v>
      </c>
      <c r="F83" t="s">
        <v>7</v>
      </c>
      <c r="G83" t="s">
        <v>8</v>
      </c>
    </row>
    <row r="84" spans="1:7" x14ac:dyDescent="0.3">
      <c r="A84" t="s">
        <v>9</v>
      </c>
      <c r="B84">
        <v>2.5771996210403101</v>
      </c>
      <c r="C84">
        <v>1.2622706471998599</v>
      </c>
      <c r="D84">
        <v>3.89212859488077</v>
      </c>
      <c r="E84">
        <v>13.1602328701441</v>
      </c>
      <c r="F84">
        <v>3.5334355709289</v>
      </c>
      <c r="G84">
        <v>49.015108870625397</v>
      </c>
    </row>
    <row r="85" spans="1:7" x14ac:dyDescent="0.3">
      <c r="A85" t="s">
        <v>10</v>
      </c>
      <c r="B85">
        <v>-6.7799597797217103E-3</v>
      </c>
      <c r="C85">
        <v>-0.22522604378681299</v>
      </c>
      <c r="D85">
        <v>0.21166612422736999</v>
      </c>
      <c r="E85">
        <v>0.99324297229214198</v>
      </c>
      <c r="F85">
        <v>0.79833573952833004</v>
      </c>
      <c r="G85">
        <v>1.2357352341392001</v>
      </c>
    </row>
    <row r="87" spans="1:7" x14ac:dyDescent="0.3">
      <c r="A87" t="s">
        <v>19</v>
      </c>
    </row>
    <row r="88" spans="1:7" x14ac:dyDescent="0.3">
      <c r="A88" t="s">
        <v>2</v>
      </c>
      <c r="B88" t="s">
        <v>9</v>
      </c>
      <c r="C88" t="s">
        <v>10</v>
      </c>
    </row>
    <row r="89" spans="1:7" x14ac:dyDescent="0.3">
      <c r="A89" t="s">
        <v>9</v>
      </c>
      <c r="B89">
        <v>0.45009937290768498</v>
      </c>
      <c r="C89">
        <v>-7.3464623160084105E-2</v>
      </c>
    </row>
    <row r="90" spans="1:7" x14ac:dyDescent="0.3">
      <c r="A90" t="s">
        <v>10</v>
      </c>
      <c r="B90">
        <v>-7.3464623160083994E-2</v>
      </c>
      <c r="C90">
        <v>1.24220234669627E-2</v>
      </c>
    </row>
    <row r="92" spans="1:7" x14ac:dyDescent="0.3">
      <c r="A92" t="s">
        <v>28</v>
      </c>
    </row>
    <row r="94" spans="1:7" x14ac:dyDescent="0.3">
      <c r="A94" t="s">
        <v>1</v>
      </c>
    </row>
    <row r="96" spans="1:7" x14ac:dyDescent="0.3">
      <c r="A96" t="s">
        <v>2</v>
      </c>
      <c r="B96" t="s">
        <v>3</v>
      </c>
      <c r="C96" t="s">
        <v>4</v>
      </c>
      <c r="D96" t="s">
        <v>5</v>
      </c>
      <c r="E96" t="s">
        <v>6</v>
      </c>
      <c r="F96" t="s">
        <v>7</v>
      </c>
      <c r="G96" t="s">
        <v>8</v>
      </c>
    </row>
    <row r="97" spans="1:7" x14ac:dyDescent="0.3">
      <c r="A97" t="s">
        <v>9</v>
      </c>
      <c r="B97">
        <v>2.81287966433896</v>
      </c>
      <c r="C97">
        <v>2.10494324397003</v>
      </c>
      <c r="D97">
        <v>3.52081608470789</v>
      </c>
      <c r="E97">
        <v>16.657818142705</v>
      </c>
      <c r="F97">
        <v>8.2066372202297106</v>
      </c>
      <c r="G97">
        <v>33.8120106724623</v>
      </c>
    </row>
    <row r="98" spans="1:7" x14ac:dyDescent="0.3">
      <c r="A98" t="s">
        <v>10</v>
      </c>
      <c r="B98">
        <v>-3.5648642280722898E-2</v>
      </c>
      <c r="C98">
        <v>-0.150324965068515</v>
      </c>
      <c r="D98">
        <v>7.90276805070695E-2</v>
      </c>
      <c r="E98">
        <v>0.96497928684704404</v>
      </c>
      <c r="F98">
        <v>0.86042832183997398</v>
      </c>
      <c r="G98">
        <v>1.0822342784493</v>
      </c>
    </row>
    <row r="100" spans="1:7" x14ac:dyDescent="0.3">
      <c r="A100" t="s">
        <v>19</v>
      </c>
    </row>
    <row r="101" spans="1:7" x14ac:dyDescent="0.3">
      <c r="A101" t="s">
        <v>2</v>
      </c>
      <c r="B101" t="s">
        <v>9</v>
      </c>
      <c r="C101" t="s">
        <v>10</v>
      </c>
    </row>
    <row r="102" spans="1:7" x14ac:dyDescent="0.3">
      <c r="A102" t="s">
        <v>9</v>
      </c>
      <c r="B102">
        <v>0.13046449244358099</v>
      </c>
      <c r="C102">
        <v>-2.07385565727519E-2</v>
      </c>
    </row>
    <row r="103" spans="1:7" x14ac:dyDescent="0.3">
      <c r="A103" t="s">
        <v>10</v>
      </c>
      <c r="B103">
        <v>-2.07385565727519E-2</v>
      </c>
      <c r="C103">
        <v>3.423350248423E-3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workbookViewId="0">
      <selection activeCell="Q14" sqref="Q14"/>
    </sheetView>
  </sheetViews>
  <sheetFormatPr defaultColWidth="11.5546875" defaultRowHeight="14.4" x14ac:dyDescent="0.3"/>
  <cols>
    <col min="1" max="1" width="55.77734375" customWidth="1"/>
  </cols>
  <sheetData>
    <row r="1" spans="1:17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0</v>
      </c>
      <c r="B2">
        <v>224</v>
      </c>
      <c r="C2">
        <v>12</v>
      </c>
      <c r="D2">
        <v>9</v>
      </c>
      <c r="E2">
        <v>23</v>
      </c>
      <c r="F2">
        <v>65</v>
      </c>
      <c r="G2">
        <v>20</v>
      </c>
      <c r="H2">
        <v>23</v>
      </c>
      <c r="I2">
        <v>43</v>
      </c>
      <c r="J2">
        <v>25</v>
      </c>
      <c r="K2">
        <v>4</v>
      </c>
      <c r="L2">
        <v>186</v>
      </c>
      <c r="M2">
        <v>49.830357142857103</v>
      </c>
      <c r="N2">
        <v>10.5251255164226</v>
      </c>
      <c r="O2">
        <v>4.25</v>
      </c>
      <c r="P2">
        <v>3</v>
      </c>
      <c r="Q2">
        <v>6</v>
      </c>
    </row>
    <row r="3" spans="1:17" x14ac:dyDescent="0.3">
      <c r="A3" t="s">
        <v>20</v>
      </c>
      <c r="B3">
        <v>1016</v>
      </c>
      <c r="C3">
        <v>41</v>
      </c>
      <c r="D3">
        <v>168</v>
      </c>
      <c r="E3">
        <v>35</v>
      </c>
      <c r="F3">
        <v>158</v>
      </c>
      <c r="G3">
        <v>158</v>
      </c>
      <c r="H3">
        <v>177</v>
      </c>
      <c r="I3">
        <v>203</v>
      </c>
      <c r="J3">
        <v>69</v>
      </c>
      <c r="K3">
        <v>7</v>
      </c>
      <c r="L3">
        <v>838</v>
      </c>
      <c r="M3">
        <v>50.278543307086601</v>
      </c>
      <c r="N3">
        <v>10.802397665073199</v>
      </c>
      <c r="O3">
        <v>4</v>
      </c>
      <c r="P3">
        <v>2.5</v>
      </c>
      <c r="Q3">
        <v>5.5</v>
      </c>
    </row>
    <row r="4" spans="1:17" x14ac:dyDescent="0.3">
      <c r="A4" t="s">
        <v>21</v>
      </c>
      <c r="B4">
        <v>793</v>
      </c>
      <c r="C4">
        <v>29</v>
      </c>
      <c r="D4">
        <v>159</v>
      </c>
      <c r="E4">
        <v>12</v>
      </c>
      <c r="F4">
        <v>93</v>
      </c>
      <c r="G4">
        <v>138</v>
      </c>
      <c r="H4">
        <v>156</v>
      </c>
      <c r="I4">
        <v>160</v>
      </c>
      <c r="J4">
        <v>43</v>
      </c>
      <c r="K4">
        <v>3</v>
      </c>
      <c r="L4">
        <v>652</v>
      </c>
      <c r="M4">
        <v>50.305170239596499</v>
      </c>
      <c r="N4">
        <v>10.860929234689401</v>
      </c>
      <c r="O4">
        <v>3.5</v>
      </c>
      <c r="P4">
        <v>2.5</v>
      </c>
      <c r="Q4">
        <v>5.5</v>
      </c>
    </row>
    <row r="5" spans="1:17" x14ac:dyDescent="0.3">
      <c r="A5" t="s">
        <v>22</v>
      </c>
      <c r="B5">
        <v>181</v>
      </c>
      <c r="C5">
        <v>4</v>
      </c>
      <c r="D5">
        <v>69</v>
      </c>
      <c r="E5">
        <v>7</v>
      </c>
      <c r="F5">
        <v>31</v>
      </c>
      <c r="G5">
        <v>21</v>
      </c>
      <c r="H5">
        <v>29</v>
      </c>
      <c r="I5">
        <v>16</v>
      </c>
      <c r="J5">
        <v>4</v>
      </c>
      <c r="K5">
        <v>0</v>
      </c>
      <c r="L5">
        <v>133</v>
      </c>
      <c r="M5">
        <v>57.331491712707198</v>
      </c>
      <c r="N5">
        <v>8.0946177238807397</v>
      </c>
      <c r="O5">
        <v>6.5</v>
      </c>
      <c r="P5">
        <v>6</v>
      </c>
      <c r="Q5">
        <v>7</v>
      </c>
    </row>
    <row r="6" spans="1:17" x14ac:dyDescent="0.3">
      <c r="A6" t="s">
        <v>23</v>
      </c>
      <c r="B6">
        <v>184</v>
      </c>
      <c r="C6">
        <v>4</v>
      </c>
      <c r="D6">
        <v>70</v>
      </c>
      <c r="E6">
        <v>7</v>
      </c>
      <c r="F6">
        <v>31</v>
      </c>
      <c r="G6">
        <v>23</v>
      </c>
      <c r="H6">
        <v>30</v>
      </c>
      <c r="I6">
        <v>15</v>
      </c>
      <c r="J6">
        <v>4</v>
      </c>
      <c r="K6">
        <v>0</v>
      </c>
      <c r="L6">
        <v>135</v>
      </c>
      <c r="M6">
        <v>57.396739130434803</v>
      </c>
      <c r="N6">
        <v>7.9890765736648897</v>
      </c>
      <c r="O6">
        <v>6.5</v>
      </c>
      <c r="P6">
        <v>6</v>
      </c>
      <c r="Q6">
        <v>7</v>
      </c>
    </row>
    <row r="7" spans="1:17" x14ac:dyDescent="0.3">
      <c r="A7" t="s">
        <v>24</v>
      </c>
      <c r="B7">
        <v>164</v>
      </c>
      <c r="C7">
        <v>2</v>
      </c>
      <c r="D7">
        <v>79</v>
      </c>
      <c r="E7">
        <v>1</v>
      </c>
      <c r="F7">
        <v>31</v>
      </c>
      <c r="G7">
        <v>28</v>
      </c>
      <c r="H7">
        <v>19</v>
      </c>
      <c r="I7">
        <v>4</v>
      </c>
      <c r="J7">
        <v>0</v>
      </c>
      <c r="K7">
        <v>0</v>
      </c>
      <c r="L7">
        <v>121</v>
      </c>
      <c r="M7">
        <v>58.225609756097597</v>
      </c>
      <c r="N7">
        <v>7.5691707770193304</v>
      </c>
      <c r="O7">
        <v>6.5</v>
      </c>
      <c r="P7">
        <v>6</v>
      </c>
      <c r="Q7">
        <v>7</v>
      </c>
    </row>
    <row r="8" spans="1:17" x14ac:dyDescent="0.3">
      <c r="A8" t="s">
        <v>25</v>
      </c>
      <c r="B8">
        <v>50</v>
      </c>
      <c r="C8">
        <v>1</v>
      </c>
      <c r="D8">
        <v>11</v>
      </c>
      <c r="E8">
        <v>1</v>
      </c>
      <c r="F8">
        <v>13</v>
      </c>
      <c r="G8">
        <v>11</v>
      </c>
      <c r="H8">
        <v>7</v>
      </c>
      <c r="I8">
        <v>4</v>
      </c>
      <c r="J8">
        <v>1</v>
      </c>
      <c r="K8">
        <v>1</v>
      </c>
      <c r="L8">
        <v>40</v>
      </c>
      <c r="M8">
        <v>50.12</v>
      </c>
      <c r="N8">
        <v>9.8284053142108494</v>
      </c>
      <c r="O8">
        <v>4.5</v>
      </c>
      <c r="P8">
        <v>3.5</v>
      </c>
      <c r="Q8">
        <v>6</v>
      </c>
    </row>
    <row r="9" spans="1:17" x14ac:dyDescent="0.3">
      <c r="A9" t="s">
        <v>26</v>
      </c>
      <c r="B9">
        <v>191</v>
      </c>
      <c r="C9">
        <v>9</v>
      </c>
      <c r="D9">
        <v>56</v>
      </c>
      <c r="E9">
        <v>2</v>
      </c>
      <c r="F9">
        <v>34</v>
      </c>
      <c r="G9">
        <v>44</v>
      </c>
      <c r="H9">
        <v>28</v>
      </c>
      <c r="I9">
        <v>15</v>
      </c>
      <c r="J9">
        <v>2</v>
      </c>
      <c r="K9">
        <v>1</v>
      </c>
      <c r="L9">
        <v>150</v>
      </c>
      <c r="M9">
        <v>52.418848167539302</v>
      </c>
      <c r="N9">
        <v>10.0494807790979</v>
      </c>
      <c r="O9">
        <v>4.5</v>
      </c>
      <c r="P9">
        <v>3</v>
      </c>
      <c r="Q9">
        <v>6</v>
      </c>
    </row>
    <row r="10" spans="1:17" x14ac:dyDescent="0.3">
      <c r="A10" t="s">
        <v>27</v>
      </c>
      <c r="B10">
        <v>66</v>
      </c>
      <c r="C10">
        <v>2</v>
      </c>
      <c r="D10">
        <v>23</v>
      </c>
      <c r="E10">
        <v>0</v>
      </c>
      <c r="F10">
        <v>20</v>
      </c>
      <c r="G10">
        <v>14</v>
      </c>
      <c r="H10">
        <v>3</v>
      </c>
      <c r="I10">
        <v>4</v>
      </c>
      <c r="J10">
        <v>0</v>
      </c>
      <c r="K10">
        <v>0</v>
      </c>
      <c r="L10">
        <v>46</v>
      </c>
      <c r="M10">
        <v>56.727272727272698</v>
      </c>
      <c r="N10">
        <v>6.5622356756624498</v>
      </c>
      <c r="O10">
        <v>6.5</v>
      </c>
      <c r="P10">
        <v>6</v>
      </c>
      <c r="Q10">
        <v>7</v>
      </c>
    </row>
    <row r="11" spans="1:17" x14ac:dyDescent="0.3">
      <c r="A11" t="s">
        <v>28</v>
      </c>
      <c r="B11">
        <v>222</v>
      </c>
      <c r="C11">
        <v>3</v>
      </c>
      <c r="D11">
        <v>107</v>
      </c>
      <c r="E11">
        <v>2</v>
      </c>
      <c r="F11">
        <v>37</v>
      </c>
      <c r="G11">
        <v>40</v>
      </c>
      <c r="H11">
        <v>29</v>
      </c>
      <c r="I11">
        <v>4</v>
      </c>
      <c r="J11">
        <v>0</v>
      </c>
      <c r="K11">
        <v>0</v>
      </c>
      <c r="L11">
        <v>164</v>
      </c>
      <c r="M11">
        <v>57.8108108108108</v>
      </c>
      <c r="N11">
        <v>7.82039740864899</v>
      </c>
      <c r="O11">
        <v>6.5</v>
      </c>
      <c r="P11">
        <v>6</v>
      </c>
      <c r="Q11">
        <v>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9141B-AB39-473B-A049-B1C502596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892EB-68FF-40B4-8EED-2D5A00473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9B4EC1-0E3A-4156-AB7A-75FF64620031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Models</vt:lpstr>
      <vt:lpstr>Models without DMTs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jeffrey.rodgers</dc:creator>
  <cp:lastModifiedBy>Ayman Sadek</cp:lastModifiedBy>
  <dcterms:created xsi:type="dcterms:W3CDTF">2024-10-21T15:30:54Z</dcterms:created>
  <dcterms:modified xsi:type="dcterms:W3CDTF">2024-10-24T22:06:28Z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