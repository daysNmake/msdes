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.sharepoint.com/teams/grp-Bristol_TAG-MTA-MS/Shared Documents/MTA-MS/Working Folder_HE/MS Models/Git Repo/MS-MTA/"/>
    </mc:Choice>
  </mc:AlternateContent>
  <xr:revisionPtr revIDLastSave="269" documentId="8_{76071419-A7CB-4F17-9D34-0E781EDA7FAC}" xr6:coauthVersionLast="47" xr6:coauthVersionMax="47" xr10:uidLastSave="{1A15F5A5-248C-410D-BDD1-67B33C2392D5}"/>
  <bookViews>
    <workbookView xWindow="9420" yWindow="285" windowWidth="14790" windowHeight="12510" firstSheet="4" activeTab="4" xr2:uid="{C900376C-AEC5-4C6A-B806-8D6753BB10C1}"/>
  </bookViews>
  <sheets>
    <sheet name="flags" sheetId="1" r:id="rId1"/>
    <sheet name="utilities" sheetId="2" r:id="rId2"/>
    <sheet name="costs" sheetId="3" r:id="rId3"/>
    <sheet name="naturalhistory" sheetId="5" r:id="rId4"/>
    <sheet name="events.severity" sheetId="6" r:id="rId5"/>
    <sheet name="events.tx" sheetId="7" r:id="rId6"/>
    <sheet name="events (3)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9" i="8" l="1"/>
  <c r="A38" i="8"/>
  <c r="A37" i="8"/>
  <c r="A36" i="8"/>
  <c r="A35" i="8"/>
  <c r="A34" i="8"/>
  <c r="A33" i="8"/>
  <c r="A32" i="8"/>
  <c r="A31" i="8"/>
  <c r="A30" i="8"/>
  <c r="A29" i="8"/>
  <c r="A27" i="8"/>
  <c r="A26" i="8"/>
  <c r="A24" i="8"/>
  <c r="A23" i="8"/>
  <c r="A22" i="8"/>
  <c r="A21" i="8"/>
  <c r="A19" i="8"/>
  <c r="A18" i="8"/>
  <c r="A17" i="8"/>
  <c r="A16" i="8"/>
  <c r="A14" i="8"/>
  <c r="A13" i="8"/>
  <c r="A12" i="8"/>
  <c r="A11" i="8"/>
  <c r="A10" i="8"/>
  <c r="A9" i="8"/>
  <c r="A8" i="8"/>
  <c r="A7" i="8"/>
  <c r="A6" i="8"/>
  <c r="A5" i="8"/>
  <c r="L13" i="6"/>
  <c r="L12" i="6"/>
  <c r="K15" i="6"/>
  <c r="E15" i="6"/>
  <c r="F15" i="6" s="1"/>
  <c r="G15" i="6" s="1"/>
  <c r="H15" i="6" s="1"/>
  <c r="I15" i="6" s="1"/>
  <c r="J15" i="6" s="1"/>
  <c r="J10" i="6"/>
  <c r="K10" i="6" s="1"/>
  <c r="L10" i="6" s="1"/>
  <c r="I10" i="6"/>
  <c r="J11" i="6"/>
  <c r="K11" i="6" s="1"/>
  <c r="L11" i="6" s="1"/>
  <c r="K12" i="6"/>
  <c r="H9" i="6"/>
  <c r="I9" i="6" s="1"/>
  <c r="J9" i="6" s="1"/>
  <c r="K9" i="6" s="1"/>
  <c r="L9" i="6" s="1"/>
  <c r="F7" i="6"/>
  <c r="G7" i="6" s="1"/>
  <c r="H7" i="6" s="1"/>
  <c r="I7" i="6" s="1"/>
  <c r="J7" i="6" s="1"/>
  <c r="K7" i="6" s="1"/>
  <c r="L7" i="6" s="1"/>
  <c r="G8" i="6"/>
  <c r="H8" i="6" s="1"/>
  <c r="I8" i="6" s="1"/>
  <c r="J8" i="6" s="1"/>
  <c r="K8" i="6" s="1"/>
  <c r="L8" i="6" s="1"/>
  <c r="E6" i="6"/>
  <c r="F6" i="6" s="1"/>
  <c r="G6" i="6" s="1"/>
  <c r="H6" i="6" s="1"/>
  <c r="I6" i="6" s="1"/>
  <c r="J6" i="6" s="1"/>
  <c r="K6" i="6" s="1"/>
  <c r="L6" i="6" s="1"/>
  <c r="A28" i="7"/>
  <c r="A27" i="7"/>
  <c r="A26" i="7"/>
  <c r="A25" i="7"/>
  <c r="A24" i="7"/>
  <c r="A23" i="7"/>
  <c r="A22" i="7"/>
  <c r="A21" i="7"/>
  <c r="A20" i="7"/>
  <c r="A19" i="7"/>
  <c r="A18" i="7"/>
  <c r="A16" i="7"/>
  <c r="A15" i="7"/>
  <c r="A13" i="7"/>
  <c r="A12" i="7"/>
  <c r="A11" i="7"/>
  <c r="A10" i="7"/>
  <c r="A8" i="7"/>
  <c r="A7" i="7"/>
  <c r="A6" i="7"/>
  <c r="A5" i="7"/>
  <c r="D13" i="6"/>
  <c r="E13" i="6" s="1"/>
  <c r="F13" i="6" s="1"/>
  <c r="G13" i="6" s="1"/>
  <c r="H13" i="6" s="1"/>
  <c r="I13" i="6" s="1"/>
  <c r="D5" i="6"/>
  <c r="E5" i="6" s="1"/>
  <c r="F5" i="6" s="1"/>
  <c r="G5" i="6" s="1"/>
  <c r="H5" i="6" s="1"/>
  <c r="I5" i="6" s="1"/>
  <c r="J5" i="6" s="1"/>
  <c r="K5" i="6" s="1"/>
  <c r="L5" i="6" s="1"/>
  <c r="C7" i="6"/>
  <c r="C8" i="6"/>
  <c r="D8" i="6" s="1"/>
  <c r="C9" i="6"/>
  <c r="D9" i="6" s="1"/>
  <c r="E9" i="6" s="1"/>
  <c r="C10" i="6"/>
  <c r="D10" i="6" s="1"/>
  <c r="E10" i="6" s="1"/>
  <c r="F10" i="6" s="1"/>
  <c r="C11" i="6"/>
  <c r="D11" i="6" s="1"/>
  <c r="E11" i="6" s="1"/>
  <c r="F11" i="6" s="1"/>
  <c r="G11" i="6" s="1"/>
  <c r="C12" i="6"/>
  <c r="D12" i="6" s="1"/>
  <c r="E12" i="6" s="1"/>
  <c r="F12" i="6" s="1"/>
  <c r="G12" i="6" s="1"/>
  <c r="H12" i="6" s="1"/>
  <c r="C13" i="6"/>
  <c r="C14" i="6"/>
  <c r="D14" i="6" s="1"/>
  <c r="E14" i="6" s="1"/>
  <c r="F14" i="6" s="1"/>
  <c r="G14" i="6" s="1"/>
  <c r="H14" i="6" s="1"/>
  <c r="I14" i="6" s="1"/>
  <c r="J14" i="6" s="1"/>
  <c r="A33" i="1"/>
  <c r="A34" i="1"/>
  <c r="A35" i="1"/>
  <c r="A36" i="1"/>
  <c r="A37" i="1"/>
  <c r="A38" i="1"/>
  <c r="A6" i="6"/>
  <c r="A7" i="6"/>
  <c r="A8" i="6"/>
  <c r="A9" i="6"/>
  <c r="A10" i="6"/>
  <c r="A11" i="6"/>
  <c r="A12" i="6"/>
  <c r="A13" i="6"/>
  <c r="A14" i="6"/>
  <c r="A5" i="6"/>
  <c r="A18" i="1"/>
  <c r="D32" i="1"/>
  <c r="A32" i="1" s="1"/>
  <c r="A33" i="3"/>
  <c r="D31" i="1"/>
  <c r="A31" i="1" s="1"/>
  <c r="D29" i="1"/>
  <c r="A29" i="1" s="1"/>
  <c r="D30" i="1"/>
  <c r="A30" i="1" s="1"/>
  <c r="D28" i="1"/>
  <c r="A28" i="1" s="1"/>
  <c r="A31" i="3"/>
  <c r="A32" i="3"/>
  <c r="A30" i="3"/>
  <c r="A29" i="3"/>
  <c r="A13" i="5"/>
  <c r="A12" i="5"/>
  <c r="A11" i="5"/>
  <c r="A10" i="5"/>
  <c r="A9" i="5"/>
  <c r="A8" i="5"/>
  <c r="A7" i="5"/>
  <c r="A6" i="5"/>
  <c r="A5" i="5"/>
  <c r="A4" i="5"/>
  <c r="A21" i="3"/>
  <c r="A22" i="3"/>
  <c r="A23" i="3"/>
  <c r="A24" i="3"/>
  <c r="A16" i="3"/>
  <c r="A17" i="3"/>
  <c r="A18" i="3"/>
  <c r="A19" i="3"/>
  <c r="A20" i="3"/>
  <c r="A15" i="3"/>
  <c r="A5" i="3"/>
  <c r="A6" i="3"/>
  <c r="A7" i="3"/>
  <c r="A8" i="3"/>
  <c r="A9" i="3"/>
  <c r="A10" i="3"/>
  <c r="A11" i="3"/>
  <c r="A12" i="3"/>
  <c r="A13" i="3"/>
  <c r="A4" i="3"/>
  <c r="A13" i="2"/>
  <c r="A12" i="2"/>
  <c r="A11" i="2"/>
  <c r="A10" i="2"/>
  <c r="A9" i="2"/>
  <c r="A8" i="2"/>
  <c r="A7" i="2"/>
  <c r="A6" i="2"/>
  <c r="A5" i="2"/>
  <c r="A4" i="2"/>
  <c r="A26" i="1"/>
  <c r="A25" i="1"/>
  <c r="A21" i="1"/>
  <c r="A22" i="1"/>
  <c r="A23" i="1"/>
  <c r="A20" i="1"/>
  <c r="A16" i="1"/>
  <c r="A17" i="1"/>
  <c r="A15" i="1"/>
  <c r="A5" i="1"/>
  <c r="A6" i="1"/>
  <c r="A7" i="1"/>
  <c r="A8" i="1"/>
  <c r="A9" i="1"/>
  <c r="A10" i="1"/>
  <c r="A11" i="1"/>
  <c r="A12" i="1"/>
  <c r="A13" i="1"/>
  <c r="A4" i="1"/>
</calcChain>
</file>

<file path=xl/sharedStrings.xml><?xml version="1.0" encoding="utf-8"?>
<sst xmlns="http://schemas.openxmlformats.org/spreadsheetml/2006/main" count="65" uniqueCount="51">
  <si>
    <t>edss</t>
  </si>
  <si>
    <t>rrms</t>
  </si>
  <si>
    <t>spms</t>
  </si>
  <si>
    <t>relapse</t>
  </si>
  <si>
    <t>line</t>
  </si>
  <si>
    <t>ae</t>
  </si>
  <si>
    <t>on</t>
  </si>
  <si>
    <t>off</t>
  </si>
  <si>
    <t>f.</t>
  </si>
  <si>
    <t>Flags</t>
  </si>
  <si>
    <t>Utilities</t>
  </si>
  <si>
    <t>u.</t>
  </si>
  <si>
    <t>Costs</t>
  </si>
  <si>
    <t>c.</t>
  </si>
  <si>
    <t>m_</t>
  </si>
  <si>
    <t>nm_</t>
  </si>
  <si>
    <t>medical direct</t>
  </si>
  <si>
    <t>non-medical direct</t>
  </si>
  <si>
    <t>Natural History</t>
  </si>
  <si>
    <t>nh</t>
  </si>
  <si>
    <t>tx_</t>
  </si>
  <si>
    <t>nat</t>
  </si>
  <si>
    <t>clab</t>
  </si>
  <si>
    <t>fing</t>
  </si>
  <si>
    <t>dac</t>
  </si>
  <si>
    <t>treatments</t>
  </si>
  <si>
    <t>tx.</t>
  </si>
  <si>
    <t>alem</t>
  </si>
  <si>
    <t>rr2sp</t>
  </si>
  <si>
    <t>initial events</t>
  </si>
  <si>
    <t>reaction events</t>
  </si>
  <si>
    <t>start</t>
  </si>
  <si>
    <t>flags</t>
  </si>
  <si>
    <t>-</t>
  </si>
  <si>
    <t>edss0</t>
  </si>
  <si>
    <t>ib1a</t>
  </si>
  <si>
    <t>ib1b</t>
  </si>
  <si>
    <t>glat</t>
  </si>
  <si>
    <t>ofat</t>
  </si>
  <si>
    <t>pone</t>
  </si>
  <si>
    <t>ahsct</t>
  </si>
  <si>
    <t>edss1</t>
  </si>
  <si>
    <t>edss2</t>
  </si>
  <si>
    <t>edss3</t>
  </si>
  <si>
    <t>edss4</t>
  </si>
  <si>
    <t>edss5</t>
  </si>
  <si>
    <t>edss6</t>
  </si>
  <si>
    <t>edss7</t>
  </si>
  <si>
    <t>edss8</t>
  </si>
  <si>
    <t>edss9</t>
  </si>
  <si>
    <t>f.dead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</si>
</sst>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11"/>
      <color theme="3" tint="0.2499465926084170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0" borderId="0" xfId="0" applyFont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2D606-42FE-456D-81C1-308C8EF63D55}">
  <dimension ref="A2:D38"/>
  <sheetViews>
    <sheetView workbookViewId="0">
      <selection activeCell="A41" sqref="A41"/>
    </sheetView>
  </sheetViews>
  <sheetFormatPr defaultRowHeight="15" x14ac:dyDescent="0.25"/>
  <cols>
    <col min="1" max="1" width="10.375" customWidth="1"/>
    <col min="2" max="2" width="1.875" style="2" bestFit="1" customWidth="1"/>
    <col min="3" max="3" width="6.5" style="2" bestFit="1" customWidth="1"/>
    <col min="4" max="4" width="6.625" style="2" customWidth="1"/>
  </cols>
  <sheetData>
    <row r="2" spans="1:4" x14ac:dyDescent="0.25">
      <c r="A2" s="1" t="s">
        <v>9</v>
      </c>
    </row>
    <row r="4" spans="1:4" x14ac:dyDescent="0.25">
      <c r="A4" t="str">
        <f t="shared" ref="A4:A13" si="0">_xlfn.CONCAT($B$4,$C$4,D4)</f>
        <v>f.edss0</v>
      </c>
      <c r="B4" s="4" t="s">
        <v>8</v>
      </c>
      <c r="C4" s="4" t="s">
        <v>0</v>
      </c>
      <c r="D4" s="4">
        <v>0</v>
      </c>
    </row>
    <row r="5" spans="1:4" x14ac:dyDescent="0.25">
      <c r="A5" t="str">
        <f t="shared" si="0"/>
        <v>f.edss1</v>
      </c>
      <c r="B5" s="4"/>
      <c r="C5" s="4"/>
      <c r="D5" s="4">
        <v>1</v>
      </c>
    </row>
    <row r="6" spans="1:4" x14ac:dyDescent="0.25">
      <c r="A6" t="str">
        <f t="shared" si="0"/>
        <v>f.edss2</v>
      </c>
      <c r="B6" s="4"/>
      <c r="C6" s="4"/>
      <c r="D6" s="4">
        <v>2</v>
      </c>
    </row>
    <row r="7" spans="1:4" x14ac:dyDescent="0.25">
      <c r="A7" t="str">
        <f t="shared" si="0"/>
        <v>f.edss3</v>
      </c>
      <c r="B7" s="4"/>
      <c r="C7" s="4"/>
      <c r="D7" s="4">
        <v>3</v>
      </c>
    </row>
    <row r="8" spans="1:4" x14ac:dyDescent="0.25">
      <c r="A8" t="str">
        <f t="shared" si="0"/>
        <v>f.edss4</v>
      </c>
      <c r="B8" s="4"/>
      <c r="C8" s="4"/>
      <c r="D8" s="4">
        <v>4</v>
      </c>
    </row>
    <row r="9" spans="1:4" x14ac:dyDescent="0.25">
      <c r="A9" t="str">
        <f t="shared" si="0"/>
        <v>f.edss5</v>
      </c>
      <c r="B9" s="4"/>
      <c r="C9" s="4"/>
      <c r="D9" s="4">
        <v>5</v>
      </c>
    </row>
    <row r="10" spans="1:4" x14ac:dyDescent="0.25">
      <c r="A10" t="str">
        <f t="shared" si="0"/>
        <v>f.edss6</v>
      </c>
      <c r="B10" s="4"/>
      <c r="C10" s="4"/>
      <c r="D10" s="4">
        <v>6</v>
      </c>
    </row>
    <row r="11" spans="1:4" x14ac:dyDescent="0.25">
      <c r="A11" t="str">
        <f t="shared" si="0"/>
        <v>f.edss7</v>
      </c>
      <c r="B11" s="4"/>
      <c r="C11" s="4"/>
      <c r="D11" s="4">
        <v>7</v>
      </c>
    </row>
    <row r="12" spans="1:4" x14ac:dyDescent="0.25">
      <c r="A12" t="str">
        <f t="shared" si="0"/>
        <v>f.edss8</v>
      </c>
      <c r="B12" s="4"/>
      <c r="C12" s="4"/>
      <c r="D12" s="4">
        <v>8</v>
      </c>
    </row>
    <row r="13" spans="1:4" x14ac:dyDescent="0.25">
      <c r="A13" t="str">
        <f t="shared" si="0"/>
        <v>f.edss9</v>
      </c>
      <c r="B13" s="4"/>
      <c r="C13" s="4"/>
      <c r="D13" s="4">
        <v>9</v>
      </c>
    </row>
    <row r="14" spans="1:4" x14ac:dyDescent="0.25">
      <c r="B14" s="4"/>
      <c r="C14" s="4"/>
      <c r="D14" s="4"/>
    </row>
    <row r="15" spans="1:4" x14ac:dyDescent="0.25">
      <c r="A15" t="str">
        <f>_xlfn.CONCAT($B$4,C15,D15)</f>
        <v>f.rrms</v>
      </c>
      <c r="B15" s="4"/>
      <c r="C15" s="4" t="s">
        <v>1</v>
      </c>
      <c r="D15" s="4"/>
    </row>
    <row r="16" spans="1:4" x14ac:dyDescent="0.25">
      <c r="A16" t="str">
        <f>_xlfn.CONCAT($B$4,C16,D16)</f>
        <v>f.spms</v>
      </c>
      <c r="B16" s="4"/>
      <c r="C16" s="4" t="s">
        <v>2</v>
      </c>
      <c r="D16" s="4"/>
    </row>
    <row r="17" spans="1:4" x14ac:dyDescent="0.25">
      <c r="A17" t="str">
        <f>_xlfn.CONCAT($B$4,C17,D17)</f>
        <v>f.relapse</v>
      </c>
      <c r="B17" s="4"/>
      <c r="C17" s="4" t="s">
        <v>3</v>
      </c>
      <c r="D17" s="4"/>
    </row>
    <row r="18" spans="1:4" x14ac:dyDescent="0.25">
      <c r="A18" t="str">
        <f>_xlfn.CONCAT($B$4,C18,D18)</f>
        <v>f.rr2sp</v>
      </c>
      <c r="B18" s="4"/>
      <c r="C18" s="4" t="s">
        <v>28</v>
      </c>
      <c r="D18" s="4"/>
    </row>
    <row r="19" spans="1:4" x14ac:dyDescent="0.25">
      <c r="B19" s="4"/>
      <c r="C19" s="4"/>
      <c r="D19" s="4"/>
    </row>
    <row r="20" spans="1:4" x14ac:dyDescent="0.25">
      <c r="A20" t="str">
        <f>_xlfn.CONCAT($B$4,$C$20,D20)</f>
        <v>f.line1</v>
      </c>
      <c r="B20" s="4"/>
      <c r="C20" s="4" t="s">
        <v>4</v>
      </c>
      <c r="D20" s="4">
        <v>1</v>
      </c>
    </row>
    <row r="21" spans="1:4" x14ac:dyDescent="0.25">
      <c r="A21" t="str">
        <f>_xlfn.CONCAT($B$4,$C$20,D21)</f>
        <v>f.line2</v>
      </c>
      <c r="B21" s="4"/>
      <c r="C21" s="4"/>
      <c r="D21" s="4">
        <v>2</v>
      </c>
    </row>
    <row r="22" spans="1:4" x14ac:dyDescent="0.25">
      <c r="A22" t="str">
        <f>_xlfn.CONCAT($B$4,$C$20,D22)</f>
        <v>f.line3</v>
      </c>
      <c r="B22" s="4"/>
      <c r="C22" s="4"/>
      <c r="D22" s="4">
        <v>3</v>
      </c>
    </row>
    <row r="23" spans="1:4" x14ac:dyDescent="0.25">
      <c r="A23" t="str">
        <f>_xlfn.CONCAT($B$4,$C$20,D23)</f>
        <v>f.line4</v>
      </c>
      <c r="B23" s="4"/>
      <c r="C23" s="4"/>
      <c r="D23" s="4">
        <v>4</v>
      </c>
    </row>
    <row r="24" spans="1:4" x14ac:dyDescent="0.25">
      <c r="B24" s="4"/>
      <c r="C24" s="4" t="s">
        <v>5</v>
      </c>
      <c r="D24" s="4"/>
    </row>
    <row r="25" spans="1:4" x14ac:dyDescent="0.25">
      <c r="A25" t="str">
        <f>_xlfn.CONCAT($B$4,$C$25,D25)</f>
        <v>f.tx.on</v>
      </c>
      <c r="B25" s="4"/>
      <c r="C25" s="4" t="s">
        <v>26</v>
      </c>
      <c r="D25" s="4" t="s">
        <v>6</v>
      </c>
    </row>
    <row r="26" spans="1:4" x14ac:dyDescent="0.25">
      <c r="A26" t="str">
        <f>_xlfn.CONCAT($B$4,$C$25,D26)</f>
        <v>f.tx.off</v>
      </c>
      <c r="B26" s="4"/>
      <c r="C26" s="4"/>
      <c r="D26" s="4" t="s">
        <v>7</v>
      </c>
    </row>
    <row r="27" spans="1:4" x14ac:dyDescent="0.25">
      <c r="B27" s="4"/>
      <c r="C27" s="4"/>
      <c r="D27" s="4"/>
    </row>
    <row r="28" spans="1:4" x14ac:dyDescent="0.25">
      <c r="A28" t="str">
        <f>_xlfn.CONCAT($B$4,$C$25,D28)</f>
        <v>f.tx.nat</v>
      </c>
      <c r="B28" s="4"/>
      <c r="C28" s="4"/>
      <c r="D28" s="4" t="str">
        <f>costs!F4</f>
        <v>nat</v>
      </c>
    </row>
    <row r="29" spans="1:4" x14ac:dyDescent="0.25">
      <c r="A29" t="str">
        <f t="shared" ref="A29:A38" si="1">_xlfn.CONCAT($B$4,$C$25,D29)</f>
        <v>f.tx.clab</v>
      </c>
      <c r="B29" s="4"/>
      <c r="C29" s="4"/>
      <c r="D29" s="4" t="str">
        <f>costs!F5</f>
        <v>clab</v>
      </c>
    </row>
    <row r="30" spans="1:4" x14ac:dyDescent="0.25">
      <c r="A30" t="str">
        <f t="shared" si="1"/>
        <v>f.tx.fing</v>
      </c>
      <c r="B30" s="4"/>
      <c r="C30" s="4"/>
      <c r="D30" s="4" t="str">
        <f>costs!F6</f>
        <v>fing</v>
      </c>
    </row>
    <row r="31" spans="1:4" x14ac:dyDescent="0.25">
      <c r="A31" t="str">
        <f t="shared" si="1"/>
        <v>f.tx.dac</v>
      </c>
      <c r="B31" s="4"/>
      <c r="C31" s="4"/>
      <c r="D31" s="4" t="str">
        <f>costs!F7</f>
        <v>dac</v>
      </c>
    </row>
    <row r="32" spans="1:4" x14ac:dyDescent="0.25">
      <c r="A32" t="str">
        <f t="shared" si="1"/>
        <v>f.tx.alem</v>
      </c>
      <c r="D32" s="4" t="str">
        <f>costs!F8</f>
        <v>alem</v>
      </c>
    </row>
    <row r="33" spans="1:4" x14ac:dyDescent="0.25">
      <c r="A33" t="str">
        <f t="shared" si="1"/>
        <v>f.tx.ib1a</v>
      </c>
      <c r="D33" s="4" t="s">
        <v>35</v>
      </c>
    </row>
    <row r="34" spans="1:4" x14ac:dyDescent="0.25">
      <c r="A34" t="str">
        <f t="shared" si="1"/>
        <v>f.tx.ib1b</v>
      </c>
      <c r="D34" s="4" t="s">
        <v>36</v>
      </c>
    </row>
    <row r="35" spans="1:4" x14ac:dyDescent="0.25">
      <c r="A35" t="str">
        <f t="shared" si="1"/>
        <v>f.tx.glat</v>
      </c>
      <c r="D35" s="4" t="s">
        <v>37</v>
      </c>
    </row>
    <row r="36" spans="1:4" x14ac:dyDescent="0.25">
      <c r="A36" t="str">
        <f t="shared" si="1"/>
        <v>f.tx.ofat</v>
      </c>
      <c r="D36" s="4" t="s">
        <v>38</v>
      </c>
    </row>
    <row r="37" spans="1:4" x14ac:dyDescent="0.25">
      <c r="A37" t="str">
        <f t="shared" si="1"/>
        <v>f.tx.pone</v>
      </c>
      <c r="D37" s="4" t="s">
        <v>39</v>
      </c>
    </row>
    <row r="38" spans="1:4" x14ac:dyDescent="0.25">
      <c r="A38" t="str">
        <f t="shared" si="1"/>
        <v>f.tx.ahsct</v>
      </c>
      <c r="D38" s="4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89EFE-2D9D-496A-9000-E8918DBDA62B}">
  <dimension ref="A2:D13"/>
  <sheetViews>
    <sheetView workbookViewId="0">
      <selection activeCell="B4" sqref="B4:D13"/>
    </sheetView>
  </sheetViews>
  <sheetFormatPr defaultRowHeight="15" x14ac:dyDescent="0.25"/>
  <cols>
    <col min="2" max="2" width="2.375" bestFit="1" customWidth="1"/>
    <col min="3" max="3" width="4.5" bestFit="1" customWidth="1"/>
    <col min="4" max="4" width="1.875" bestFit="1" customWidth="1"/>
  </cols>
  <sheetData>
    <row r="2" spans="1:4" x14ac:dyDescent="0.25">
      <c r="A2" s="1" t="s">
        <v>10</v>
      </c>
      <c r="B2" s="2"/>
      <c r="C2" s="2"/>
      <c r="D2" s="2"/>
    </row>
    <row r="3" spans="1:4" x14ac:dyDescent="0.25">
      <c r="B3" s="2"/>
      <c r="C3" s="2"/>
      <c r="D3" s="2"/>
    </row>
    <row r="4" spans="1:4" x14ac:dyDescent="0.25">
      <c r="A4" t="str">
        <f t="shared" ref="A4:A13" si="0">_xlfn.CONCAT($B$4,$C$4,D4)</f>
        <v>u.edss0</v>
      </c>
      <c r="B4" s="4" t="s">
        <v>11</v>
      </c>
      <c r="C4" s="4" t="s">
        <v>0</v>
      </c>
      <c r="D4" s="4">
        <v>0</v>
      </c>
    </row>
    <row r="5" spans="1:4" x14ac:dyDescent="0.25">
      <c r="A5" t="str">
        <f t="shared" si="0"/>
        <v>u.edss1</v>
      </c>
      <c r="B5" s="4"/>
      <c r="C5" s="4"/>
      <c r="D5" s="4">
        <v>1</v>
      </c>
    </row>
    <row r="6" spans="1:4" x14ac:dyDescent="0.25">
      <c r="A6" t="str">
        <f t="shared" si="0"/>
        <v>u.edss2</v>
      </c>
      <c r="B6" s="4"/>
      <c r="C6" s="4"/>
      <c r="D6" s="4">
        <v>2</v>
      </c>
    </row>
    <row r="7" spans="1:4" x14ac:dyDescent="0.25">
      <c r="A7" t="str">
        <f t="shared" si="0"/>
        <v>u.edss3</v>
      </c>
      <c r="B7" s="4"/>
      <c r="C7" s="4"/>
      <c r="D7" s="4">
        <v>3</v>
      </c>
    </row>
    <row r="8" spans="1:4" x14ac:dyDescent="0.25">
      <c r="A8" t="str">
        <f t="shared" si="0"/>
        <v>u.edss4</v>
      </c>
      <c r="B8" s="4"/>
      <c r="C8" s="4"/>
      <c r="D8" s="4">
        <v>4</v>
      </c>
    </row>
    <row r="9" spans="1:4" x14ac:dyDescent="0.25">
      <c r="A9" t="str">
        <f t="shared" si="0"/>
        <v>u.edss5</v>
      </c>
      <c r="B9" s="4"/>
      <c r="C9" s="4"/>
      <c r="D9" s="4">
        <v>5</v>
      </c>
    </row>
    <row r="10" spans="1:4" x14ac:dyDescent="0.25">
      <c r="A10" t="str">
        <f t="shared" si="0"/>
        <v>u.edss6</v>
      </c>
      <c r="B10" s="4"/>
      <c r="C10" s="4"/>
      <c r="D10" s="4">
        <v>6</v>
      </c>
    </row>
    <row r="11" spans="1:4" x14ac:dyDescent="0.25">
      <c r="A11" t="str">
        <f t="shared" si="0"/>
        <v>u.edss7</v>
      </c>
      <c r="B11" s="4"/>
      <c r="C11" s="4"/>
      <c r="D11" s="4">
        <v>7</v>
      </c>
    </row>
    <row r="12" spans="1:4" x14ac:dyDescent="0.25">
      <c r="A12" t="str">
        <f t="shared" si="0"/>
        <v>u.edss8</v>
      </c>
      <c r="B12" s="4"/>
      <c r="C12" s="4"/>
      <c r="D12" s="4">
        <v>8</v>
      </c>
    </row>
    <row r="13" spans="1:4" x14ac:dyDescent="0.25">
      <c r="A13" t="str">
        <f t="shared" si="0"/>
        <v>u.edss9</v>
      </c>
      <c r="B13" s="4"/>
      <c r="C13" s="4"/>
      <c r="D13" s="4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9B9E5-CA49-41F7-9A52-F58BFE2734C8}">
  <dimension ref="A2:F33"/>
  <sheetViews>
    <sheetView topLeftCell="A19" zoomScale="115" zoomScaleNormal="115" workbookViewId="0">
      <selection activeCell="A32" sqref="A32:A33"/>
    </sheetView>
  </sheetViews>
  <sheetFormatPr defaultRowHeight="15" x14ac:dyDescent="0.25"/>
  <cols>
    <col min="1" max="1" width="18.5" customWidth="1"/>
    <col min="2" max="2" width="2.25" bestFit="1" customWidth="1"/>
    <col min="3" max="3" width="4.125" bestFit="1" customWidth="1"/>
    <col min="4" max="4" width="4.5" bestFit="1" customWidth="1"/>
    <col min="5" max="5" width="1.875" bestFit="1" customWidth="1"/>
  </cols>
  <sheetData>
    <row r="2" spans="1:6" x14ac:dyDescent="0.25">
      <c r="A2" s="1" t="s">
        <v>12</v>
      </c>
      <c r="B2" s="2"/>
      <c r="C2" s="2"/>
      <c r="D2" s="2"/>
      <c r="E2" s="2"/>
    </row>
    <row r="3" spans="1:6" x14ac:dyDescent="0.25">
      <c r="A3" s="5" t="s">
        <v>16</v>
      </c>
      <c r="B3" s="2"/>
      <c r="C3" s="2"/>
      <c r="D3" s="2"/>
      <c r="E3" s="2"/>
    </row>
    <row r="4" spans="1:6" x14ac:dyDescent="0.25">
      <c r="A4" t="str">
        <f>_xlfn.CONCAT($B$4,$C$4,$D$4,E4)</f>
        <v>c.m_edss0</v>
      </c>
      <c r="B4" s="3" t="s">
        <v>13</v>
      </c>
      <c r="C4" s="3" t="s">
        <v>14</v>
      </c>
      <c r="D4" s="3" t="s">
        <v>0</v>
      </c>
      <c r="E4" s="3">
        <v>0</v>
      </c>
      <c r="F4" s="3" t="s">
        <v>21</v>
      </c>
    </row>
    <row r="5" spans="1:6" x14ac:dyDescent="0.25">
      <c r="A5" t="str">
        <f t="shared" ref="A5:A13" si="0">_xlfn.CONCAT($B$4,$C$4,$D$4,E5)</f>
        <v>c.m_edss1</v>
      </c>
      <c r="B5" s="3"/>
      <c r="C5" s="3" t="s">
        <v>15</v>
      </c>
      <c r="D5" s="3"/>
      <c r="E5" s="3">
        <v>1</v>
      </c>
      <c r="F5" s="3" t="s">
        <v>22</v>
      </c>
    </row>
    <row r="6" spans="1:6" x14ac:dyDescent="0.25">
      <c r="A6" t="str">
        <f t="shared" si="0"/>
        <v>c.m_edss2</v>
      </c>
      <c r="B6" s="3"/>
      <c r="C6" s="3" t="s">
        <v>20</v>
      </c>
      <c r="D6" s="3"/>
      <c r="E6" s="3">
        <v>2</v>
      </c>
      <c r="F6" s="3" t="s">
        <v>23</v>
      </c>
    </row>
    <row r="7" spans="1:6" x14ac:dyDescent="0.25">
      <c r="A7" t="str">
        <f t="shared" si="0"/>
        <v>c.m_edss3</v>
      </c>
      <c r="B7" s="3"/>
      <c r="C7" s="3"/>
      <c r="D7" s="3"/>
      <c r="E7" s="3">
        <v>3</v>
      </c>
      <c r="F7" s="3" t="s">
        <v>24</v>
      </c>
    </row>
    <row r="8" spans="1:6" x14ac:dyDescent="0.25">
      <c r="A8" t="str">
        <f t="shared" si="0"/>
        <v>c.m_edss4</v>
      </c>
      <c r="B8" s="3"/>
      <c r="C8" s="3"/>
      <c r="D8" s="3"/>
      <c r="E8" s="3">
        <v>4</v>
      </c>
      <c r="F8" s="3" t="s">
        <v>27</v>
      </c>
    </row>
    <row r="9" spans="1:6" x14ac:dyDescent="0.25">
      <c r="A9" t="str">
        <f t="shared" si="0"/>
        <v>c.m_edss5</v>
      </c>
      <c r="B9" s="3"/>
      <c r="C9" s="3"/>
      <c r="D9" s="3"/>
      <c r="E9" s="3">
        <v>5</v>
      </c>
    </row>
    <row r="10" spans="1:6" x14ac:dyDescent="0.25">
      <c r="A10" t="str">
        <f t="shared" si="0"/>
        <v>c.m_edss6</v>
      </c>
      <c r="B10" s="3"/>
      <c r="C10" s="3"/>
      <c r="D10" s="3"/>
      <c r="E10" s="3">
        <v>6</v>
      </c>
    </row>
    <row r="11" spans="1:6" x14ac:dyDescent="0.25">
      <c r="A11" t="str">
        <f t="shared" si="0"/>
        <v>c.m_edss7</v>
      </c>
      <c r="B11" s="3"/>
      <c r="C11" s="3"/>
      <c r="D11" s="3"/>
      <c r="E11" s="3">
        <v>7</v>
      </c>
    </row>
    <row r="12" spans="1:6" x14ac:dyDescent="0.25">
      <c r="A12" t="str">
        <f t="shared" si="0"/>
        <v>c.m_edss8</v>
      </c>
      <c r="B12" s="3"/>
      <c r="C12" s="3"/>
      <c r="D12" s="3"/>
      <c r="E12" s="3">
        <v>8</v>
      </c>
    </row>
    <row r="13" spans="1:6" x14ac:dyDescent="0.25">
      <c r="A13" t="str">
        <f t="shared" si="0"/>
        <v>c.m_edss9</v>
      </c>
      <c r="B13" s="3"/>
      <c r="C13" s="3"/>
      <c r="D13" s="3"/>
      <c r="E13" s="3">
        <v>9</v>
      </c>
    </row>
    <row r="14" spans="1:6" x14ac:dyDescent="0.25">
      <c r="A14" s="6" t="s">
        <v>17</v>
      </c>
      <c r="B14" s="2"/>
      <c r="C14" s="2"/>
      <c r="D14" s="2"/>
      <c r="E14" s="2"/>
    </row>
    <row r="15" spans="1:6" x14ac:dyDescent="0.25">
      <c r="A15" t="str">
        <f>_xlfn.CONCAT($B$4,$C$5,$D$4,E4)</f>
        <v>c.nm_edss0</v>
      </c>
    </row>
    <row r="16" spans="1:6" x14ac:dyDescent="0.25">
      <c r="A16" t="str">
        <f t="shared" ref="A16:A24" si="1">_xlfn.CONCAT($B$4,$C$5,$D$4,E5)</f>
        <v>c.nm_edss1</v>
      </c>
    </row>
    <row r="17" spans="1:1" x14ac:dyDescent="0.25">
      <c r="A17" t="str">
        <f t="shared" si="1"/>
        <v>c.nm_edss2</v>
      </c>
    </row>
    <row r="18" spans="1:1" x14ac:dyDescent="0.25">
      <c r="A18" t="str">
        <f t="shared" si="1"/>
        <v>c.nm_edss3</v>
      </c>
    </row>
    <row r="19" spans="1:1" x14ac:dyDescent="0.25">
      <c r="A19" t="str">
        <f t="shared" si="1"/>
        <v>c.nm_edss4</v>
      </c>
    </row>
    <row r="20" spans="1:1" x14ac:dyDescent="0.25">
      <c r="A20" t="str">
        <f t="shared" si="1"/>
        <v>c.nm_edss5</v>
      </c>
    </row>
    <row r="21" spans="1:1" x14ac:dyDescent="0.25">
      <c r="A21" t="str">
        <f>_xlfn.CONCAT($B$4,$C$5,$D$4,E10)</f>
        <v>c.nm_edss6</v>
      </c>
    </row>
    <row r="22" spans="1:1" x14ac:dyDescent="0.25">
      <c r="A22" t="str">
        <f t="shared" si="1"/>
        <v>c.nm_edss7</v>
      </c>
    </row>
    <row r="23" spans="1:1" x14ac:dyDescent="0.25">
      <c r="A23" t="str">
        <f t="shared" si="1"/>
        <v>c.nm_edss8</v>
      </c>
    </row>
    <row r="24" spans="1:1" x14ac:dyDescent="0.25">
      <c r="A24" t="str">
        <f t="shared" si="1"/>
        <v>c.nm_edss9</v>
      </c>
    </row>
    <row r="28" spans="1:1" x14ac:dyDescent="0.25">
      <c r="A28" s="6" t="s">
        <v>25</v>
      </c>
    </row>
    <row r="29" spans="1:1" x14ac:dyDescent="0.25">
      <c r="A29" t="str">
        <f>_xlfn.CONCAT($B$4,$C$6,F4)</f>
        <v>c.tx_nat</v>
      </c>
    </row>
    <row r="30" spans="1:1" x14ac:dyDescent="0.25">
      <c r="A30" t="str">
        <f>_xlfn.CONCAT($B$4,$C$6,F5)</f>
        <v>c.tx_clab</v>
      </c>
    </row>
    <row r="31" spans="1:1" x14ac:dyDescent="0.25">
      <c r="A31" t="str">
        <f>_xlfn.CONCAT($B$4,$C$6,F6)</f>
        <v>c.tx_fing</v>
      </c>
    </row>
    <row r="32" spans="1:1" x14ac:dyDescent="0.25">
      <c r="A32" t="str">
        <f>_xlfn.CONCAT($B$4,$C$6,F7)</f>
        <v>c.tx_dac</v>
      </c>
    </row>
    <row r="33" spans="1:1" x14ac:dyDescent="0.25">
      <c r="A33" t="str">
        <f>_xlfn.CONCAT($B$4,$C$6,F8)</f>
        <v>c.tx_alem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020C0-C3F6-420C-8414-D1BF653DAC3F}">
  <dimension ref="A2:D13"/>
  <sheetViews>
    <sheetView workbookViewId="0">
      <selection activeCell="C5" sqref="C5"/>
    </sheetView>
  </sheetViews>
  <sheetFormatPr defaultRowHeight="15" x14ac:dyDescent="0.25"/>
  <cols>
    <col min="2" max="2" width="2.375" bestFit="1" customWidth="1"/>
    <col min="3" max="3" width="4.5" bestFit="1" customWidth="1"/>
    <col min="4" max="4" width="1.875" bestFit="1" customWidth="1"/>
  </cols>
  <sheetData>
    <row r="2" spans="1:4" x14ac:dyDescent="0.25">
      <c r="A2" s="1" t="s">
        <v>18</v>
      </c>
      <c r="B2" s="2"/>
      <c r="C2" s="2"/>
      <c r="D2" s="2"/>
    </row>
    <row r="3" spans="1:4" x14ac:dyDescent="0.25">
      <c r="B3" s="2"/>
      <c r="C3" s="2"/>
      <c r="D3" s="2"/>
    </row>
    <row r="4" spans="1:4" x14ac:dyDescent="0.25">
      <c r="A4" t="str">
        <f t="shared" ref="A4:A13" si="0">_xlfn.CONCAT($B$4,$C$4,D4)</f>
        <v>nh0</v>
      </c>
      <c r="B4" s="4"/>
      <c r="C4" s="4" t="s">
        <v>19</v>
      </c>
      <c r="D4" s="4">
        <v>0</v>
      </c>
    </row>
    <row r="5" spans="1:4" x14ac:dyDescent="0.25">
      <c r="A5" t="str">
        <f t="shared" si="0"/>
        <v>nh1</v>
      </c>
      <c r="B5" s="4"/>
      <c r="C5" s="4"/>
      <c r="D5" s="4">
        <v>1</v>
      </c>
    </row>
    <row r="6" spans="1:4" x14ac:dyDescent="0.25">
      <c r="A6" t="str">
        <f t="shared" si="0"/>
        <v>nh2</v>
      </c>
      <c r="B6" s="4"/>
      <c r="C6" s="4"/>
      <c r="D6" s="4">
        <v>2</v>
      </c>
    </row>
    <row r="7" spans="1:4" x14ac:dyDescent="0.25">
      <c r="A7" t="str">
        <f t="shared" si="0"/>
        <v>nh3</v>
      </c>
      <c r="B7" s="4"/>
      <c r="C7" s="4"/>
      <c r="D7" s="4">
        <v>3</v>
      </c>
    </row>
    <row r="8" spans="1:4" x14ac:dyDescent="0.25">
      <c r="A8" t="str">
        <f t="shared" si="0"/>
        <v>nh4</v>
      </c>
      <c r="B8" s="4"/>
      <c r="C8" s="4"/>
      <c r="D8" s="4">
        <v>4</v>
      </c>
    </row>
    <row r="9" spans="1:4" x14ac:dyDescent="0.25">
      <c r="A9" t="str">
        <f t="shared" si="0"/>
        <v>nh5</v>
      </c>
      <c r="B9" s="4"/>
      <c r="C9" s="4"/>
      <c r="D9" s="4">
        <v>5</v>
      </c>
    </row>
    <row r="10" spans="1:4" x14ac:dyDescent="0.25">
      <c r="A10" t="str">
        <f t="shared" si="0"/>
        <v>nh6</v>
      </c>
      <c r="B10" s="4"/>
      <c r="C10" s="4"/>
      <c r="D10" s="4">
        <v>6</v>
      </c>
    </row>
    <row r="11" spans="1:4" x14ac:dyDescent="0.25">
      <c r="A11" t="str">
        <f t="shared" si="0"/>
        <v>nh7</v>
      </c>
      <c r="B11" s="4"/>
      <c r="C11" s="4"/>
      <c r="D11" s="4">
        <v>7</v>
      </c>
    </row>
    <row r="12" spans="1:4" x14ac:dyDescent="0.25">
      <c r="A12" t="str">
        <f t="shared" si="0"/>
        <v>nh8</v>
      </c>
      <c r="B12" s="4"/>
      <c r="C12" s="4"/>
      <c r="D12" s="4">
        <v>8</v>
      </c>
    </row>
    <row r="13" spans="1:4" x14ac:dyDescent="0.25">
      <c r="A13" t="str">
        <f t="shared" si="0"/>
        <v>nh9</v>
      </c>
      <c r="B13" s="4"/>
      <c r="C13" s="4"/>
      <c r="D13" s="4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D6963-5837-4016-87C9-2ED906ECDE6B}">
  <dimension ref="A2:L15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31" sqref="F31"/>
    </sheetView>
  </sheetViews>
  <sheetFormatPr defaultRowHeight="15" x14ac:dyDescent="0.25"/>
  <cols>
    <col min="1" max="1" width="17.75" customWidth="1"/>
    <col min="2" max="2" width="9.375" style="9" customWidth="1"/>
    <col min="3" max="9" width="9" style="9"/>
  </cols>
  <sheetData>
    <row r="2" spans="1:12" x14ac:dyDescent="0.25">
      <c r="A2" s="7" t="s">
        <v>29</v>
      </c>
      <c r="B2" s="9" t="s">
        <v>31</v>
      </c>
      <c r="C2" s="9" t="s">
        <v>34</v>
      </c>
      <c r="D2" s="9" t="s">
        <v>41</v>
      </c>
      <c r="E2" s="9" t="s">
        <v>42</v>
      </c>
      <c r="F2" s="9" t="s">
        <v>43</v>
      </c>
      <c r="G2" s="9" t="s">
        <v>44</v>
      </c>
      <c r="H2" s="9" t="s">
        <v>45</v>
      </c>
      <c r="I2" s="9" t="s">
        <v>46</v>
      </c>
      <c r="J2" s="9" t="s">
        <v>47</v>
      </c>
      <c r="K2" s="9" t="s">
        <v>48</v>
      </c>
      <c r="L2" s="9" t="s">
        <v>49</v>
      </c>
    </row>
    <row r="3" spans="1:12" x14ac:dyDescent="0.25">
      <c r="A3" s="7" t="s">
        <v>30</v>
      </c>
      <c r="B3" s="9" t="s">
        <v>33</v>
      </c>
    </row>
    <row r="4" spans="1:12" x14ac:dyDescent="0.25">
      <c r="A4" s="7" t="s">
        <v>32</v>
      </c>
    </row>
    <row r="5" spans="1:12" x14ac:dyDescent="0.25">
      <c r="A5" t="str">
        <f>flags!A4</f>
        <v>f.edss0</v>
      </c>
      <c r="B5" s="8">
        <v>1</v>
      </c>
      <c r="C5" s="8">
        <v>0</v>
      </c>
      <c r="D5" s="9">
        <f>C5</f>
        <v>0</v>
      </c>
      <c r="E5" s="9">
        <f t="shared" ref="E5:K5" si="0">D5</f>
        <v>0</v>
      </c>
      <c r="F5" s="9">
        <f t="shared" si="0"/>
        <v>0</v>
      </c>
      <c r="G5" s="9">
        <f t="shared" si="0"/>
        <v>0</v>
      </c>
      <c r="H5" s="9">
        <f t="shared" si="0"/>
        <v>0</v>
      </c>
      <c r="I5" s="9">
        <f t="shared" si="0"/>
        <v>0</v>
      </c>
      <c r="J5" s="9">
        <f t="shared" si="0"/>
        <v>0</v>
      </c>
      <c r="K5" s="9">
        <f t="shared" si="0"/>
        <v>0</v>
      </c>
      <c r="L5" s="9">
        <f t="shared" ref="L5" si="1">K5</f>
        <v>0</v>
      </c>
    </row>
    <row r="6" spans="1:12" x14ac:dyDescent="0.25">
      <c r="A6" t="str">
        <f>flags!A5</f>
        <v>f.edss1</v>
      </c>
      <c r="B6" s="8">
        <v>0</v>
      </c>
      <c r="C6" s="8">
        <v>1</v>
      </c>
      <c r="D6" s="8">
        <v>0</v>
      </c>
      <c r="E6" s="9">
        <f>D6</f>
        <v>0</v>
      </c>
      <c r="F6" s="9">
        <f t="shared" ref="F6:K6" si="2">E6</f>
        <v>0</v>
      </c>
      <c r="G6" s="9">
        <f t="shared" si="2"/>
        <v>0</v>
      </c>
      <c r="H6" s="9">
        <f t="shared" si="2"/>
        <v>0</v>
      </c>
      <c r="I6" s="9">
        <f t="shared" si="2"/>
        <v>0</v>
      </c>
      <c r="J6" s="9">
        <f t="shared" si="2"/>
        <v>0</v>
      </c>
      <c r="K6" s="9">
        <f t="shared" si="2"/>
        <v>0</v>
      </c>
      <c r="L6" s="9">
        <f t="shared" ref="L6" si="3">K6</f>
        <v>0</v>
      </c>
    </row>
    <row r="7" spans="1:12" x14ac:dyDescent="0.25">
      <c r="A7" t="str">
        <f>flags!A6</f>
        <v>f.edss2</v>
      </c>
      <c r="B7" s="8">
        <v>0</v>
      </c>
      <c r="C7" s="9">
        <f t="shared" ref="C7:K15" si="4">B7</f>
        <v>0</v>
      </c>
      <c r="D7" s="8">
        <v>1</v>
      </c>
      <c r="E7" s="8">
        <v>0</v>
      </c>
      <c r="F7" s="9">
        <f>E7</f>
        <v>0</v>
      </c>
      <c r="G7" s="9">
        <f t="shared" ref="G7:K7" si="5">F7</f>
        <v>0</v>
      </c>
      <c r="H7" s="9">
        <f t="shared" si="5"/>
        <v>0</v>
      </c>
      <c r="I7" s="9">
        <f t="shared" si="5"/>
        <v>0</v>
      </c>
      <c r="J7" s="9">
        <f t="shared" si="5"/>
        <v>0</v>
      </c>
      <c r="K7" s="9">
        <f t="shared" si="5"/>
        <v>0</v>
      </c>
      <c r="L7" s="9">
        <f t="shared" ref="L7" si="6">K7</f>
        <v>0</v>
      </c>
    </row>
    <row r="8" spans="1:12" x14ac:dyDescent="0.25">
      <c r="A8" t="str">
        <f>flags!A7</f>
        <v>f.edss3</v>
      </c>
      <c r="B8" s="8">
        <v>0</v>
      </c>
      <c r="C8" s="9">
        <f t="shared" si="4"/>
        <v>0</v>
      </c>
      <c r="D8" s="9">
        <f t="shared" si="4"/>
        <v>0</v>
      </c>
      <c r="E8" s="8">
        <v>1</v>
      </c>
      <c r="F8" s="8">
        <v>0</v>
      </c>
      <c r="G8" s="9">
        <f>F8</f>
        <v>0</v>
      </c>
      <c r="H8" s="9">
        <f t="shared" ref="H8:K8" si="7">G8</f>
        <v>0</v>
      </c>
      <c r="I8" s="9">
        <f t="shared" si="7"/>
        <v>0</v>
      </c>
      <c r="J8" s="9">
        <f t="shared" si="7"/>
        <v>0</v>
      </c>
      <c r="K8" s="9">
        <f t="shared" si="7"/>
        <v>0</v>
      </c>
      <c r="L8" s="9">
        <f t="shared" ref="L8" si="8">K8</f>
        <v>0</v>
      </c>
    </row>
    <row r="9" spans="1:12" x14ac:dyDescent="0.25">
      <c r="A9" t="str">
        <f>flags!A8</f>
        <v>f.edss4</v>
      </c>
      <c r="B9" s="8">
        <v>0</v>
      </c>
      <c r="C9" s="9">
        <f t="shared" si="4"/>
        <v>0</v>
      </c>
      <c r="D9" s="9">
        <f t="shared" si="4"/>
        <v>0</v>
      </c>
      <c r="E9" s="9">
        <f t="shared" si="4"/>
        <v>0</v>
      </c>
      <c r="F9" s="8">
        <v>1</v>
      </c>
      <c r="G9" s="8">
        <v>0</v>
      </c>
      <c r="H9" s="9">
        <f>G9</f>
        <v>0</v>
      </c>
      <c r="I9" s="9">
        <f t="shared" ref="I9:K9" si="9">H9</f>
        <v>0</v>
      </c>
      <c r="J9" s="9">
        <f t="shared" si="9"/>
        <v>0</v>
      </c>
      <c r="K9" s="9">
        <f t="shared" si="9"/>
        <v>0</v>
      </c>
      <c r="L9" s="9">
        <f t="shared" ref="L9" si="10">K9</f>
        <v>0</v>
      </c>
    </row>
    <row r="10" spans="1:12" x14ac:dyDescent="0.25">
      <c r="A10" t="str">
        <f>flags!A9</f>
        <v>f.edss5</v>
      </c>
      <c r="B10" s="8">
        <v>0</v>
      </c>
      <c r="C10" s="9">
        <f t="shared" si="4"/>
        <v>0</v>
      </c>
      <c r="D10" s="9">
        <f t="shared" si="4"/>
        <v>0</v>
      </c>
      <c r="E10" s="9">
        <f t="shared" si="4"/>
        <v>0</v>
      </c>
      <c r="F10" s="9">
        <f t="shared" si="4"/>
        <v>0</v>
      </c>
      <c r="G10" s="8">
        <v>1</v>
      </c>
      <c r="H10" s="8">
        <v>0</v>
      </c>
      <c r="I10" s="9">
        <f>H10</f>
        <v>0</v>
      </c>
      <c r="J10" s="9">
        <f t="shared" ref="J10:K10" si="11">I10</f>
        <v>0</v>
      </c>
      <c r="K10" s="9">
        <f t="shared" si="11"/>
        <v>0</v>
      </c>
      <c r="L10" s="9">
        <f t="shared" ref="L10" si="12">K10</f>
        <v>0</v>
      </c>
    </row>
    <row r="11" spans="1:12" x14ac:dyDescent="0.25">
      <c r="A11" t="str">
        <f>flags!A10</f>
        <v>f.edss6</v>
      </c>
      <c r="B11" s="8">
        <v>0</v>
      </c>
      <c r="C11" s="9">
        <f t="shared" si="4"/>
        <v>0</v>
      </c>
      <c r="D11" s="9">
        <f t="shared" si="4"/>
        <v>0</v>
      </c>
      <c r="E11" s="9">
        <f t="shared" si="4"/>
        <v>0</v>
      </c>
      <c r="F11" s="9">
        <f t="shared" si="4"/>
        <v>0</v>
      </c>
      <c r="G11" s="9">
        <f t="shared" si="4"/>
        <v>0</v>
      </c>
      <c r="H11" s="8">
        <v>1</v>
      </c>
      <c r="I11" s="8">
        <v>0</v>
      </c>
      <c r="J11" s="9">
        <f>I11</f>
        <v>0</v>
      </c>
      <c r="K11" s="9">
        <f>J11</f>
        <v>0</v>
      </c>
      <c r="L11" s="9">
        <f>K11</f>
        <v>0</v>
      </c>
    </row>
    <row r="12" spans="1:12" x14ac:dyDescent="0.25">
      <c r="A12" t="str">
        <f>flags!A11</f>
        <v>f.edss7</v>
      </c>
      <c r="B12" s="8">
        <v>0</v>
      </c>
      <c r="C12" s="9">
        <f t="shared" si="4"/>
        <v>0</v>
      </c>
      <c r="D12" s="9">
        <f t="shared" si="4"/>
        <v>0</v>
      </c>
      <c r="E12" s="9">
        <f t="shared" si="4"/>
        <v>0</v>
      </c>
      <c r="F12" s="9">
        <f t="shared" si="4"/>
        <v>0</v>
      </c>
      <c r="G12" s="9">
        <f t="shared" si="4"/>
        <v>0</v>
      </c>
      <c r="H12" s="9">
        <f t="shared" si="4"/>
        <v>0</v>
      </c>
      <c r="I12" s="8">
        <v>1</v>
      </c>
      <c r="J12" s="8">
        <v>0</v>
      </c>
      <c r="K12" s="9">
        <f>J12</f>
        <v>0</v>
      </c>
      <c r="L12" s="9">
        <f>K12</f>
        <v>0</v>
      </c>
    </row>
    <row r="13" spans="1:12" x14ac:dyDescent="0.25">
      <c r="A13" t="str">
        <f>flags!A12</f>
        <v>f.edss8</v>
      </c>
      <c r="B13" s="8">
        <v>0</v>
      </c>
      <c r="C13" s="9">
        <f t="shared" si="4"/>
        <v>0</v>
      </c>
      <c r="D13" s="9">
        <f t="shared" si="4"/>
        <v>0</v>
      </c>
      <c r="E13" s="9">
        <f t="shared" si="4"/>
        <v>0</v>
      </c>
      <c r="F13" s="9">
        <f t="shared" si="4"/>
        <v>0</v>
      </c>
      <c r="G13" s="9">
        <f t="shared" si="4"/>
        <v>0</v>
      </c>
      <c r="H13" s="9">
        <f t="shared" si="4"/>
        <v>0</v>
      </c>
      <c r="I13" s="9">
        <f t="shared" si="4"/>
        <v>0</v>
      </c>
      <c r="J13" s="8">
        <v>1</v>
      </c>
      <c r="K13" s="8">
        <v>0</v>
      </c>
      <c r="L13" s="9">
        <f t="shared" ref="L13" si="13">K13</f>
        <v>0</v>
      </c>
    </row>
    <row r="14" spans="1:12" x14ac:dyDescent="0.25">
      <c r="A14" t="str">
        <f>flags!A13</f>
        <v>f.edss9</v>
      </c>
      <c r="B14" s="8">
        <v>0</v>
      </c>
      <c r="C14" s="9">
        <f t="shared" si="4"/>
        <v>0</v>
      </c>
      <c r="D14" s="9">
        <f t="shared" si="4"/>
        <v>0</v>
      </c>
      <c r="E14" s="9">
        <f t="shared" si="4"/>
        <v>0</v>
      </c>
      <c r="F14" s="9">
        <f t="shared" si="4"/>
        <v>0</v>
      </c>
      <c r="G14" s="9">
        <f t="shared" si="4"/>
        <v>0</v>
      </c>
      <c r="H14" s="9">
        <f t="shared" si="4"/>
        <v>0</v>
      </c>
      <c r="I14" s="9">
        <f t="shared" si="4"/>
        <v>0</v>
      </c>
      <c r="J14" s="9">
        <f t="shared" si="4"/>
        <v>0</v>
      </c>
      <c r="K14" s="8">
        <v>1</v>
      </c>
      <c r="L14" s="8">
        <v>0</v>
      </c>
    </row>
    <row r="15" spans="1:12" x14ac:dyDescent="0.25">
      <c r="A15" t="s">
        <v>50</v>
      </c>
      <c r="E15" s="9">
        <f t="shared" si="4"/>
        <v>0</v>
      </c>
      <c r="F15" s="9">
        <f t="shared" si="4"/>
        <v>0</v>
      </c>
      <c r="G15" s="9">
        <f t="shared" si="4"/>
        <v>0</v>
      </c>
      <c r="H15" s="9">
        <f t="shared" si="4"/>
        <v>0</v>
      </c>
      <c r="I15" s="9">
        <f t="shared" si="4"/>
        <v>0</v>
      </c>
      <c r="J15" s="9">
        <f t="shared" si="4"/>
        <v>0</v>
      </c>
      <c r="K15" s="9">
        <f t="shared" si="4"/>
        <v>0</v>
      </c>
      <c r="L15" s="8">
        <v>1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069E4-692D-4284-8830-A68639F89E04}">
  <dimension ref="A2:I28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15" sqref="D15"/>
    </sheetView>
  </sheetViews>
  <sheetFormatPr defaultRowHeight="15" x14ac:dyDescent="0.25"/>
  <cols>
    <col min="1" max="1" width="17.75" customWidth="1"/>
    <col min="2" max="2" width="9.375" style="9" customWidth="1"/>
    <col min="3" max="9" width="9" style="9"/>
  </cols>
  <sheetData>
    <row r="2" spans="1:4" x14ac:dyDescent="0.25">
      <c r="A2" s="7" t="s">
        <v>29</v>
      </c>
      <c r="B2" s="9" t="s">
        <v>31</v>
      </c>
      <c r="C2" s="9" t="s">
        <v>34</v>
      </c>
      <c r="D2" s="9" t="s">
        <v>41</v>
      </c>
    </row>
    <row r="3" spans="1:4" x14ac:dyDescent="0.25">
      <c r="A3" s="7" t="s">
        <v>30</v>
      </c>
      <c r="B3" s="9" t="s">
        <v>33</v>
      </c>
    </row>
    <row r="4" spans="1:4" x14ac:dyDescent="0.25">
      <c r="A4" s="7" t="s">
        <v>32</v>
      </c>
    </row>
    <row r="5" spans="1:4" s="9" customFormat="1" x14ac:dyDescent="0.25">
      <c r="A5" t="str">
        <f>flags!A15</f>
        <v>f.rrms</v>
      </c>
      <c r="B5" s="8">
        <v>1</v>
      </c>
    </row>
    <row r="6" spans="1:4" s="9" customFormat="1" x14ac:dyDescent="0.25">
      <c r="A6" t="str">
        <f>flags!A16</f>
        <v>f.spms</v>
      </c>
      <c r="B6" s="8">
        <v>0</v>
      </c>
    </row>
    <row r="7" spans="1:4" s="9" customFormat="1" x14ac:dyDescent="0.25">
      <c r="A7" t="str">
        <f>flags!A17</f>
        <v>f.relapse</v>
      </c>
      <c r="B7" s="8">
        <v>0</v>
      </c>
    </row>
    <row r="8" spans="1:4" s="9" customFormat="1" x14ac:dyDescent="0.25">
      <c r="A8" t="str">
        <f>flags!A18</f>
        <v>f.rr2sp</v>
      </c>
      <c r="B8" s="8">
        <v>0</v>
      </c>
    </row>
    <row r="10" spans="1:4" s="9" customFormat="1" x14ac:dyDescent="0.25">
      <c r="A10" t="str">
        <f>flags!A20</f>
        <v>f.line1</v>
      </c>
      <c r="B10" s="8">
        <v>1</v>
      </c>
    </row>
    <row r="11" spans="1:4" s="9" customFormat="1" x14ac:dyDescent="0.25">
      <c r="A11" t="str">
        <f>flags!A21</f>
        <v>f.line2</v>
      </c>
      <c r="B11" s="8">
        <v>0</v>
      </c>
    </row>
    <row r="12" spans="1:4" s="9" customFormat="1" x14ac:dyDescent="0.25">
      <c r="A12" t="str">
        <f>flags!A22</f>
        <v>f.line3</v>
      </c>
      <c r="B12" s="8">
        <v>0</v>
      </c>
    </row>
    <row r="13" spans="1:4" s="9" customFormat="1" x14ac:dyDescent="0.25">
      <c r="A13" t="str">
        <f>flags!A23</f>
        <v>f.line4</v>
      </c>
      <c r="B13" s="8">
        <v>0</v>
      </c>
    </row>
    <row r="15" spans="1:4" s="9" customFormat="1" x14ac:dyDescent="0.25">
      <c r="A15" t="str">
        <f>flags!A25</f>
        <v>f.tx.on</v>
      </c>
      <c r="B15" s="8">
        <v>1</v>
      </c>
    </row>
    <row r="16" spans="1:4" s="9" customFormat="1" x14ac:dyDescent="0.25">
      <c r="A16" t="str">
        <f>flags!A26</f>
        <v>f.tx.off</v>
      </c>
      <c r="B16" s="8">
        <v>0</v>
      </c>
    </row>
    <row r="18" spans="1:2" s="9" customFormat="1" x14ac:dyDescent="0.25">
      <c r="A18" t="str">
        <f>flags!A28</f>
        <v>f.tx.nat</v>
      </c>
      <c r="B18" s="8">
        <v>0</v>
      </c>
    </row>
    <row r="19" spans="1:2" s="9" customFormat="1" x14ac:dyDescent="0.25">
      <c r="A19" t="str">
        <f>flags!A29</f>
        <v>f.tx.clab</v>
      </c>
      <c r="B19" s="8">
        <v>0</v>
      </c>
    </row>
    <row r="20" spans="1:2" s="9" customFormat="1" x14ac:dyDescent="0.25">
      <c r="A20" t="str">
        <f>flags!A30</f>
        <v>f.tx.fing</v>
      </c>
      <c r="B20" s="8">
        <v>0</v>
      </c>
    </row>
    <row r="21" spans="1:2" s="9" customFormat="1" x14ac:dyDescent="0.25">
      <c r="A21" t="str">
        <f>flags!A31</f>
        <v>f.tx.dac</v>
      </c>
      <c r="B21" s="8">
        <v>0</v>
      </c>
    </row>
    <row r="22" spans="1:2" s="9" customFormat="1" x14ac:dyDescent="0.25">
      <c r="A22" t="str">
        <f>flags!A32</f>
        <v>f.tx.alem</v>
      </c>
      <c r="B22" s="8">
        <v>0</v>
      </c>
    </row>
    <row r="23" spans="1:2" s="9" customFormat="1" x14ac:dyDescent="0.25">
      <c r="A23" t="str">
        <f>flags!A33</f>
        <v>f.tx.ib1a</v>
      </c>
      <c r="B23" s="8">
        <v>1</v>
      </c>
    </row>
    <row r="24" spans="1:2" s="9" customFormat="1" x14ac:dyDescent="0.25">
      <c r="A24" t="str">
        <f>flags!A34</f>
        <v>f.tx.ib1b</v>
      </c>
      <c r="B24" s="8">
        <v>0</v>
      </c>
    </row>
    <row r="25" spans="1:2" s="9" customFormat="1" x14ac:dyDescent="0.25">
      <c r="A25" t="str">
        <f>flags!A35</f>
        <v>f.tx.glat</v>
      </c>
      <c r="B25" s="8">
        <v>0</v>
      </c>
    </row>
    <row r="26" spans="1:2" s="9" customFormat="1" x14ac:dyDescent="0.25">
      <c r="A26" t="str">
        <f>flags!A36</f>
        <v>f.tx.ofat</v>
      </c>
      <c r="B26" s="8">
        <v>0</v>
      </c>
    </row>
    <row r="27" spans="1:2" s="9" customFormat="1" x14ac:dyDescent="0.25">
      <c r="A27" t="str">
        <f>flags!A37</f>
        <v>f.tx.pone</v>
      </c>
      <c r="B27" s="8">
        <v>0</v>
      </c>
    </row>
    <row r="28" spans="1:2" s="9" customFormat="1" x14ac:dyDescent="0.25">
      <c r="A28" t="str">
        <f>flags!A38</f>
        <v>f.tx.ahsct</v>
      </c>
      <c r="B28" s="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9A310-A556-4C12-B072-9E7C8C3903C6}">
  <dimension ref="A2:I39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16" sqref="E16"/>
    </sheetView>
  </sheetViews>
  <sheetFormatPr defaultRowHeight="15" x14ac:dyDescent="0.25"/>
  <cols>
    <col min="1" max="1" width="17.75" customWidth="1"/>
    <col min="2" max="2" width="9.375" style="9" customWidth="1"/>
    <col min="3" max="9" width="9" style="9"/>
  </cols>
  <sheetData>
    <row r="2" spans="1:5" x14ac:dyDescent="0.25">
      <c r="A2" s="7" t="s">
        <v>29</v>
      </c>
      <c r="B2" s="9" t="s">
        <v>31</v>
      </c>
    </row>
    <row r="3" spans="1:5" x14ac:dyDescent="0.25">
      <c r="A3" s="7" t="s">
        <v>30</v>
      </c>
      <c r="B3" s="9" t="s">
        <v>33</v>
      </c>
    </row>
    <row r="4" spans="1:5" x14ac:dyDescent="0.25">
      <c r="A4" s="7" t="s">
        <v>32</v>
      </c>
    </row>
    <row r="5" spans="1:5" x14ac:dyDescent="0.25">
      <c r="A5" t="str">
        <f>flags!A4</f>
        <v>f.edss0</v>
      </c>
      <c r="B5" s="8">
        <v>1</v>
      </c>
      <c r="C5" s="8"/>
    </row>
    <row r="6" spans="1:5" x14ac:dyDescent="0.25">
      <c r="A6" t="str">
        <f>flags!A5</f>
        <v>f.edss1</v>
      </c>
      <c r="B6" s="8">
        <v>0</v>
      </c>
      <c r="C6" s="8"/>
      <c r="D6" s="8"/>
    </row>
    <row r="7" spans="1:5" x14ac:dyDescent="0.25">
      <c r="A7" t="str">
        <f>flags!A6</f>
        <v>f.edss2</v>
      </c>
      <c r="B7" s="8">
        <v>0</v>
      </c>
      <c r="D7" s="8"/>
    </row>
    <row r="8" spans="1:5" x14ac:dyDescent="0.25">
      <c r="A8" t="str">
        <f>flags!A7</f>
        <v>f.edss3</v>
      </c>
      <c r="B8" s="8">
        <v>0</v>
      </c>
      <c r="E8" s="10"/>
    </row>
    <row r="9" spans="1:5" x14ac:dyDescent="0.25">
      <c r="A9" t="str">
        <f>flags!A8</f>
        <v>f.edss4</v>
      </c>
      <c r="B9" s="8">
        <v>0</v>
      </c>
    </row>
    <row r="10" spans="1:5" x14ac:dyDescent="0.25">
      <c r="A10" t="str">
        <f>flags!A9</f>
        <v>f.edss5</v>
      </c>
      <c r="B10" s="8">
        <v>0</v>
      </c>
    </row>
    <row r="11" spans="1:5" x14ac:dyDescent="0.25">
      <c r="A11" t="str">
        <f>flags!A10</f>
        <v>f.edss6</v>
      </c>
      <c r="B11" s="8">
        <v>0</v>
      </c>
    </row>
    <row r="12" spans="1:5" x14ac:dyDescent="0.25">
      <c r="A12" t="str">
        <f>flags!A11</f>
        <v>f.edss7</v>
      </c>
      <c r="B12" s="8">
        <v>0</v>
      </c>
    </row>
    <row r="13" spans="1:5" x14ac:dyDescent="0.25">
      <c r="A13" t="str">
        <f>flags!A12</f>
        <v>f.edss8</v>
      </c>
      <c r="B13" s="8">
        <v>0</v>
      </c>
    </row>
    <row r="14" spans="1:5" x14ac:dyDescent="0.25">
      <c r="A14" t="str">
        <f>flags!A13</f>
        <v>f.edss9</v>
      </c>
      <c r="B14" s="8">
        <v>0</v>
      </c>
    </row>
    <row r="16" spans="1:5" x14ac:dyDescent="0.25">
      <c r="A16" t="str">
        <f>flags!A15</f>
        <v>f.rrms</v>
      </c>
      <c r="B16" s="8">
        <v>1</v>
      </c>
    </row>
    <row r="17" spans="1:2" x14ac:dyDescent="0.25">
      <c r="A17" t="str">
        <f>flags!A16</f>
        <v>f.spms</v>
      </c>
      <c r="B17" s="8">
        <v>0</v>
      </c>
    </row>
    <row r="18" spans="1:2" x14ac:dyDescent="0.25">
      <c r="A18" t="str">
        <f>flags!A17</f>
        <v>f.relapse</v>
      </c>
      <c r="B18" s="8">
        <v>0</v>
      </c>
    </row>
    <row r="19" spans="1:2" x14ac:dyDescent="0.25">
      <c r="A19" t="str">
        <f>flags!A18</f>
        <v>f.rr2sp</v>
      </c>
      <c r="B19" s="8">
        <v>0</v>
      </c>
    </row>
    <row r="21" spans="1:2" x14ac:dyDescent="0.25">
      <c r="A21" t="str">
        <f>flags!A20</f>
        <v>f.line1</v>
      </c>
      <c r="B21" s="8">
        <v>1</v>
      </c>
    </row>
    <row r="22" spans="1:2" x14ac:dyDescent="0.25">
      <c r="A22" t="str">
        <f>flags!A21</f>
        <v>f.line2</v>
      </c>
      <c r="B22" s="8">
        <v>0</v>
      </c>
    </row>
    <row r="23" spans="1:2" x14ac:dyDescent="0.25">
      <c r="A23" t="str">
        <f>flags!A22</f>
        <v>f.line3</v>
      </c>
      <c r="B23" s="8">
        <v>0</v>
      </c>
    </row>
    <row r="24" spans="1:2" x14ac:dyDescent="0.25">
      <c r="A24" t="str">
        <f>flags!A23</f>
        <v>f.line4</v>
      </c>
      <c r="B24" s="8">
        <v>0</v>
      </c>
    </row>
    <row r="26" spans="1:2" x14ac:dyDescent="0.25">
      <c r="A26" t="str">
        <f>flags!A25</f>
        <v>f.tx.on</v>
      </c>
      <c r="B26" s="8">
        <v>1</v>
      </c>
    </row>
    <row r="27" spans="1:2" x14ac:dyDescent="0.25">
      <c r="A27" t="str">
        <f>flags!A26</f>
        <v>f.tx.off</v>
      </c>
      <c r="B27" s="8">
        <v>0</v>
      </c>
    </row>
    <row r="29" spans="1:2" x14ac:dyDescent="0.25">
      <c r="A29" t="str">
        <f>flags!A28</f>
        <v>f.tx.nat</v>
      </c>
      <c r="B29" s="8">
        <v>0</v>
      </c>
    </row>
    <row r="30" spans="1:2" x14ac:dyDescent="0.25">
      <c r="A30" t="str">
        <f>flags!A29</f>
        <v>f.tx.clab</v>
      </c>
      <c r="B30" s="8">
        <v>0</v>
      </c>
    </row>
    <row r="31" spans="1:2" x14ac:dyDescent="0.25">
      <c r="A31" t="str">
        <f>flags!A30</f>
        <v>f.tx.fing</v>
      </c>
      <c r="B31" s="8">
        <v>0</v>
      </c>
    </row>
    <row r="32" spans="1:2" x14ac:dyDescent="0.25">
      <c r="A32" t="str">
        <f>flags!A31</f>
        <v>f.tx.dac</v>
      </c>
      <c r="B32" s="8">
        <v>0</v>
      </c>
    </row>
    <row r="33" spans="1:2" x14ac:dyDescent="0.25">
      <c r="A33" t="str">
        <f>flags!A32</f>
        <v>f.tx.alem</v>
      </c>
      <c r="B33" s="8">
        <v>0</v>
      </c>
    </row>
    <row r="34" spans="1:2" x14ac:dyDescent="0.25">
      <c r="A34" t="str">
        <f>flags!A33</f>
        <v>f.tx.ib1a</v>
      </c>
      <c r="B34" s="8">
        <v>1</v>
      </c>
    </row>
    <row r="35" spans="1:2" x14ac:dyDescent="0.25">
      <c r="A35" t="str">
        <f>flags!A34</f>
        <v>f.tx.ib1b</v>
      </c>
      <c r="B35" s="8">
        <v>0</v>
      </c>
    </row>
    <row r="36" spans="1:2" x14ac:dyDescent="0.25">
      <c r="A36" t="str">
        <f>flags!A35</f>
        <v>f.tx.glat</v>
      </c>
      <c r="B36" s="8">
        <v>0</v>
      </c>
    </row>
    <row r="37" spans="1:2" x14ac:dyDescent="0.25">
      <c r="A37" t="str">
        <f>flags!A36</f>
        <v>f.tx.ofat</v>
      </c>
      <c r="B37" s="8">
        <v>0</v>
      </c>
    </row>
    <row r="38" spans="1:2" x14ac:dyDescent="0.25">
      <c r="A38" t="str">
        <f>flags!A37</f>
        <v>f.tx.pone</v>
      </c>
      <c r="B38" s="8">
        <v>0</v>
      </c>
    </row>
    <row r="39" spans="1:2" x14ac:dyDescent="0.25">
      <c r="A39" t="str">
        <f>flags!A38</f>
        <v>f.tx.ahsct</v>
      </c>
      <c r="B39" s="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7c8efc5d897a5a54c153d61be50fc1e0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7c927ce20f93a00fedc297caf603d12c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177130-4AE0-4BC3-812F-C368639BAA24}">
  <ds:schemaRefs>
    <ds:schemaRef ds:uri="http://schemas.microsoft.com/office/2006/metadata/properties"/>
    <ds:schemaRef ds:uri="http://schemas.microsoft.com/office/infopath/2007/PartnerControls"/>
    <ds:schemaRef ds:uri="a4e98822-f433-4c96-8830-5cb2d7491f7d"/>
  </ds:schemaRefs>
</ds:datastoreItem>
</file>

<file path=customXml/itemProps2.xml><?xml version="1.0" encoding="utf-8"?>
<ds:datastoreItem xmlns:ds="http://schemas.openxmlformats.org/officeDocument/2006/customXml" ds:itemID="{3D1F9637-7F0E-4FBA-AACC-902D661830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EAF85B-B364-425F-B961-632DD00472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e98822-f433-4c96-8830-5cb2d7491f7d"/>
    <ds:schemaRef ds:uri="adc125f1-7df9-46f4-a9a7-022dd426a2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flags</vt:lpstr>
      <vt:lpstr>utilities</vt:lpstr>
      <vt:lpstr>costs</vt:lpstr>
      <vt:lpstr>naturalhistory</vt:lpstr>
      <vt:lpstr>events.severity</vt:lpstr>
      <vt:lpstr>events.tx</vt:lpstr>
      <vt:lpstr>events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Sadek</dc:creator>
  <cp:lastModifiedBy>Ayman Sadek</cp:lastModifiedBy>
  <dcterms:created xsi:type="dcterms:W3CDTF">2024-06-04T14:22:10Z</dcterms:created>
  <dcterms:modified xsi:type="dcterms:W3CDTF">2024-06-07T10:02:25Z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  <property fmtid="{D5CDD505-2E9C-101B-9397-08002B2CF9AE}" pid="3" name="MediaServiceImageTags">
    <vt:lpwstr/>
  </property>
</Properties>
</file>